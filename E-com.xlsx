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D26459-1D9C-4672-A1A1-1B881179C748}" xr6:coauthVersionLast="47" xr6:coauthVersionMax="47" xr10:uidLastSave="{00000000-0000-0000-0000-000000000000}"/>
  <bookViews>
    <workbookView xWindow="-120" yWindow="-120" windowWidth="29040" windowHeight="15720" firstSheet="11" activeTab="16" xr2:uid="{079F8272-6EDE-4236-AD83-F3DAA9D337E5}"/>
  </bookViews>
  <sheets>
    <sheet name="ÜSM" sheetId="2" r:id="rId1"/>
    <sheet name="AUSS" sheetId="3" r:id="rId2"/>
    <sheet name="Aylıq Satış Trendi (2023–2024)" sheetId="19" r:id="rId3"/>
    <sheet name="Mehsul uzre menfeet" sheetId="4" r:id="rId4"/>
    <sheet name="Top 5 mehsul" sheetId="5" r:id="rId5"/>
    <sheet name="Top 5 musteri" sheetId="6" r:id="rId6"/>
    <sheet name="Şəhərlər üzrə SS" sheetId="7" r:id="rId7"/>
    <sheet name="Endirim" sheetId="9" r:id="rId8"/>
    <sheet name="Odenis_Usullari" sheetId="10" r:id="rId9"/>
    <sheet name="Ləğv_Qaytarılma" sheetId="11" r:id="rId10"/>
    <sheet name="Qaytarilma_Faizi" sheetId="12" r:id="rId11"/>
    <sheet name="Top 1 qaytarilan" sheetId="13" r:id="rId12"/>
    <sheet name="Qaytarilma_Sebeb" sheetId="14" r:id="rId13"/>
    <sheet name="Kateqoriya_Menfeet_Faizi" sheetId="15" r:id="rId14"/>
    <sheet name="Yaş_Qrupları" sheetId="16" r:id="rId15"/>
    <sheet name="2023_2024_SAF" sheetId="17" r:id="rId16"/>
    <sheet name="Dashboard" sheetId="21" r:id="rId17"/>
  </sheets>
  <definedNames>
    <definedName name="_xlchart.v2.0" hidden="1">Yaş_Qrupları!$A$2:$A$5</definedName>
    <definedName name="_xlchart.v2.1" hidden="1">Yaş_Qrupları!$B$2:$B$5</definedName>
    <definedName name="_xlchart.v2.10" hidden="1">Yaş_Qrupları!$B$2:$B$5</definedName>
    <definedName name="_xlchart.v2.11" hidden="1">Yaş_Qrupları!$C$2:$C$5</definedName>
    <definedName name="_xlchart.v2.2" hidden="1">Yaş_Qrupları!$C$2:$C$5</definedName>
    <definedName name="_xlchart.v2.3" hidden="1">Yaş_Qrupları!$A$2:$A$5</definedName>
    <definedName name="_xlchart.v2.4" hidden="1">Yaş_Qrupları!$B$2:$B$5</definedName>
    <definedName name="_xlchart.v2.5" hidden="1">Yaş_Qrupları!$C$2:$C$5</definedName>
    <definedName name="_xlchart.v2.6" hidden="1">Yaş_Qrupları!$A$2:$A$5</definedName>
    <definedName name="_xlchart.v2.7" hidden="1">Yaş_Qrupları!$B$2:$B$5</definedName>
    <definedName name="_xlchart.v2.8" hidden="1">Yaş_Qrupları!$C$2:$C$5</definedName>
    <definedName name="_xlchart.v2.9" hidden="1">Yaş_Qrupları!$A$2:$A$5</definedName>
    <definedName name="ExternalData_1" localSheetId="15" hidden="1">'2023_2024_SAF'!$A$1:$C$2</definedName>
    <definedName name="ExternalData_1" localSheetId="7" hidden="1">Endirim!$A$1:$D$3</definedName>
    <definedName name="ExternalData_1" localSheetId="13" hidden="1">Kateqoriya_Menfeet_Faizi!$A$1:$B$6</definedName>
    <definedName name="ExternalData_1" localSheetId="9" hidden="1">Ləğv_Qaytarılma!$A$1:$C$4</definedName>
    <definedName name="ExternalData_1" localSheetId="8" hidden="1">Odenis_Usullari!$A$1:$C$4</definedName>
    <definedName name="ExternalData_1" localSheetId="10" hidden="1">Qaytarilma_Faizi!$A$1:$A$2</definedName>
    <definedName name="ExternalData_1" localSheetId="12" hidden="1">Qaytarilma_Sebeb!$A$1:$C$4</definedName>
    <definedName name="ExternalData_1" localSheetId="11" hidden="1">'Top 1 qaytarilan'!$A$1:$C$2</definedName>
    <definedName name="ExternalData_1" localSheetId="0" hidden="1">ÜSM!$A$1:$A$2</definedName>
    <definedName name="ExternalData_1" localSheetId="14" hidden="1">Yaş_Qrupları!$A$1:$C$5</definedName>
    <definedName name="ExternalData_2" localSheetId="1" hidden="1">AUSS!$A$1:$D$47</definedName>
    <definedName name="ExternalData_2" localSheetId="3" hidden="1">'Mehsul uzre menfeet'!$A$1:$D$101</definedName>
    <definedName name="ExternalData_3" localSheetId="4" hidden="1">'Top 5 mehsul'!$A$1:$B$6</definedName>
    <definedName name="ExternalData_4" localSheetId="5" hidden="1">'Top 5 musteri'!$A$1:$B$6</definedName>
    <definedName name="ExternalData_5" localSheetId="6" hidden="1">'Şəhərlər üzrə SS'!$A$1:$C$6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 a="1"/>
  <c r="B2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E06E-346C-4A5D-B671-5F759FD270C2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  <connection id="2" xr16:uid="{22D9F0B7-6A7E-43CF-88C4-D07D2DB00FBB}" keepAlive="1" name="Query - 10" description="Connection to the '10' query in the workbook." type="5" refreshedVersion="8" background="1" saveData="1">
    <dbPr connection="Provider=Microsoft.Mashup.OleDb.1;Data Source=$Workbook$;Location=10;Extended Properties=&quot;&quot;" command="SELECT * FROM [10]"/>
  </connection>
  <connection id="3" xr16:uid="{60F45418-3C9C-4EDD-A8E0-1C1EEBA3C0C9}" keepAlive="1" name="Query - 11" description="Connection to the '11' query in the workbook." type="5" refreshedVersion="8" background="1" saveData="1">
    <dbPr connection="Provider=Microsoft.Mashup.OleDb.1;Data Source=$Workbook$;Location=11;Extended Properties=&quot;&quot;" command="SELECT * FROM [11]"/>
  </connection>
  <connection id="4" xr16:uid="{0E8EAB7E-76A1-4BB6-83F1-B030FDECC4CA}" keepAlive="1" name="Query - 12" description="Connection to the '12' query in the workbook." type="5" refreshedVersion="8" background="1" saveData="1">
    <dbPr connection="Provider=Microsoft.Mashup.OleDb.1;Data Source=$Workbook$;Location=12;Extended Properties=&quot;&quot;" command="SELECT * FROM [12]"/>
  </connection>
  <connection id="5" xr16:uid="{3302E98D-0D0B-422F-9756-5FF28CD7D732}" keepAlive="1" name="Query - 2" description="Connection to the '2' query in the workbook." type="5" refreshedVersion="8" background="1" saveData="1">
    <dbPr connection="Provider=Microsoft.Mashup.OleDb.1;Data Source=$Workbook$;Location=2;Extended Properties=&quot;&quot;" command="SELECT * FROM [2]"/>
  </connection>
  <connection id="6" xr16:uid="{8C361D73-BF91-48EF-BEFB-6DC7180EC239}" keepAlive="1" name="Query - 3" description="Connection to the '3' query in the workbook." type="5" refreshedVersion="8" background="1" saveData="1">
    <dbPr connection="Provider=Microsoft.Mashup.OleDb.1;Data Source=$Workbook$;Location=3;Extended Properties=&quot;&quot;" command="SELECT * FROM [3]"/>
  </connection>
  <connection id="7" xr16:uid="{85C70E9A-E0AC-4BD4-A547-5AACD76052F4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  <connection id="8" xr16:uid="{3C7011CA-DED3-49ED-BEE0-39D6946A7FB2}" keepAlive="1" name="Query - 5" description="Connection to the '5' query in the workbook." type="5" refreshedVersion="8" background="1" saveData="1">
    <dbPr connection="Provider=Microsoft.Mashup.OleDb.1;Data Source=$Workbook$;Location=5;Extended Properties=&quot;&quot;" command="SELECT * FROM [5]"/>
  </connection>
  <connection id="9" xr16:uid="{85EC1BCF-87B6-4230-941B-90FA18D8111A}" keepAlive="1" name="Query - 6" description="Connection to the '6' query in the workbook." type="5" refreshedVersion="8" background="1" saveData="1">
    <dbPr connection="Provider=Microsoft.Mashup.OleDb.1;Data Source=$Workbook$;Location=6;Extended Properties=&quot;&quot;" command="SELECT * FROM [6]"/>
  </connection>
  <connection id="10" xr16:uid="{7237C8F1-1BAB-4DCA-A1C6-7097E0CE3D83}" keepAlive="1" name="Query - 7" description="Connection to the '7' query in the workbook." type="5" refreshedVersion="8" background="1" saveData="1">
    <dbPr connection="Provider=Microsoft.Mashup.OleDb.1;Data Source=$Workbook$;Location=7;Extended Properties=&quot;&quot;" command="SELECT * FROM [7]"/>
  </connection>
  <connection id="11" xr16:uid="{C1F0AF3E-A3A5-4CA4-BE3A-DD9513270910}" keepAlive="1" name="Query - 8" description="Connection to the '8' query in the workbook." type="5" refreshedVersion="8" background="1" saveData="1">
    <dbPr connection="Provider=Microsoft.Mashup.OleDb.1;Data Source=$Workbook$;Location=8;Extended Properties=&quot;&quot;" command="SELECT * FROM [8]"/>
  </connection>
  <connection id="12" xr16:uid="{EAFEA6F7-F9D6-4A72-9D4E-E75F4DEF2529}" keepAlive="1" name="Query - 9" description="Connection to the '9' query in the workbook." type="5" refreshedVersion="8" background="1" saveData="1">
    <dbPr connection="Provider=Microsoft.Mashup.OleDb.1;Data Source=$Workbook$;Location=9;Extended Properties=&quot;&quot;" command="SELECT * FROM [9]"/>
  </connection>
  <connection id="13" xr16:uid="{C838870D-4AB8-472A-94C9-93FF422B6DB3}" keepAlive="1" name="Query - B1" description="Connection to the 'B1' query in the workbook." type="5" refreshedVersion="8" background="1" saveData="1">
    <dbPr connection="Provider=Microsoft.Mashup.OleDb.1;Data Source=$Workbook$;Location=B1;Extended Properties=&quot;&quot;" command="SELECT * FROM [B1]"/>
  </connection>
  <connection id="14" xr16:uid="{CF06F5AB-9BA0-4737-9DD6-09221DB26DC0}" keepAlive="1" name="Query - B2" description="Connection to the 'B2' query in the workbook." type="5" refreshedVersion="8" background="1" saveData="1">
    <dbPr connection="Provider=Microsoft.Mashup.OleDb.1;Data Source=$Workbook$;Location=B2;Extended Properties=&quot;&quot;" command="SELECT * FROM [B2]"/>
  </connection>
  <connection id="15" xr16:uid="{00DDE0EC-30DF-4EA4-8504-F2B86B3EBA26}" keepAlive="1" name="Query - B3" description="Connection to the 'B3' query in the workbook." type="5" refreshedVersion="8" background="1" saveData="1">
    <dbPr connection="Provider=Microsoft.Mashup.OleDb.1;Data Source=$Workbook$;Location=B3;Extended Properties=&quot;&quot;" command="SELECT * FROM [B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<sst xmlns="http://schemas.openxmlformats.org/spreadsheetml/2006/main" count="183" uniqueCount="170">
  <si>
    <t>Ümumi_Satış_Məbləği</t>
  </si>
  <si>
    <t>Il</t>
  </si>
  <si>
    <t>Ay</t>
  </si>
  <si>
    <t>Sifaris_Sayi</t>
  </si>
  <si>
    <t>Satis_Meblegi</t>
  </si>
  <si>
    <t>Product_Name</t>
  </si>
  <si>
    <t>Umumi_Gelir</t>
  </si>
  <si>
    <t>Maya_Deyeri</t>
  </si>
  <si>
    <t>Menfeet</t>
  </si>
  <si>
    <t>Product 0</t>
  </si>
  <si>
    <t>Product 1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</si>
  <si>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</si>
  <si>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</si>
  <si>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</si>
  <si>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</si>
  <si>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</si>
  <si>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</si>
  <si>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</si>
  <si>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</si>
  <si>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</si>
  <si>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</si>
  <si>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</si>
  <si>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</si>
  <si>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</si>
  <si>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</si>
  <si>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</si>
  <si>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</si>
  <si>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</si>
  <si>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</si>
  <si>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</si>
  <si>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</si>
  <si>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</si>
  <si>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</si>
  <si>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</si>
  <si>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</si>
  <si>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</si>
  <si>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</si>
  <si>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</si>
  <si>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</si>
  <si>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</si>
  <si>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</si>
  <si>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</si>
  <si>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</si>
  <si>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</si>
  <si>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</si>
  <si>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</si>
  <si>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</si>
  <si>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</si>
  <si>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</si>
  <si>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</si>
  <si>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</si>
  <si>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</si>
  <si>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</si>
  <si>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</si>
  <si>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</si>
  <si>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</si>
  <si>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</si>
  <si>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</si>
  <si>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</si>
  <si>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</si>
  <si>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</si>
  <si>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</si>
  <si>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</si>
  <si>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</si>
  <si>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</si>
  <si>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</si>
  <si>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</si>
  <si>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</si>
  <si>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</si>
  <si>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</si>
  <si>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</si>
  <si>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</si>
  <si>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</si>
  <si>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</si>
  <si>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</si>
  <si>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</si>
  <si>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</si>
  <si>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</si>
  <si>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</si>
  <si>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</si>
  <si>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</si>
  <si>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</si>
  <si>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</si>
  <si>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</si>
  <si>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</si>
  <si>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</si>
  <si>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</si>
  <si>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</si>
  <si>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</si>
  <si>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</si>
  <si>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</si>
  <si>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</si>
  <si>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</si>
  <si>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</si>
  <si>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</si>
  <si>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</si>
  <si>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</si>
  <si>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</si>
  <si>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</si>
  <si>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</si>
  <si>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</si>
  <si>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</si>
  <si>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</si>
  <si>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</si>
  <si>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</si>
  <si>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</si>
  <si>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</si>
  <si>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</si>
  <si>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</si>
  <si>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Umumi_gelir</t>
  </si>
  <si>
    <t>Full_Name</t>
  </si>
  <si>
    <t>Umumi_Alis_Veris</t>
  </si>
  <si>
    <t>Customer 125</t>
  </si>
  <si>
    <t>Customer 120</t>
  </si>
  <si>
    <t>Customer 194</t>
  </si>
  <si>
    <t>Customer 23</t>
  </si>
  <si>
    <t>Customer 111</t>
  </si>
  <si>
    <t>Şəhər</t>
  </si>
  <si>
    <t>Umumi_Satis</t>
  </si>
  <si>
    <t>Ganja</t>
  </si>
  <si>
    <t>Baku</t>
  </si>
  <si>
    <t>Sumqayit</t>
  </si>
  <si>
    <t>Lankaran</t>
  </si>
  <si>
    <t>Shaki</t>
  </si>
  <si>
    <t>Sifaris_Novu</t>
  </si>
  <si>
    <t>Sifaris_Detallari_Sayi</t>
  </si>
  <si>
    <t>Umumi_Satis_Meblegi</t>
  </si>
  <si>
    <t>Orta_Satis_Meblegi</t>
  </si>
  <si>
    <t>Endirimsiz Sifarisler</t>
  </si>
  <si>
    <t>Endirimli Sifarisler</t>
  </si>
  <si>
    <t>Payment_Metod</t>
  </si>
  <si>
    <t>Cash</t>
  </si>
  <si>
    <t>Transfer</t>
  </si>
  <si>
    <t>Card</t>
  </si>
  <si>
    <t>Status</t>
  </si>
  <si>
    <t>Say</t>
  </si>
  <si>
    <t>Faiz_Nisbeti</t>
  </si>
  <si>
    <t>Cancelled</t>
  </si>
  <si>
    <t>Completed</t>
  </si>
  <si>
    <t>Returned</t>
  </si>
  <si>
    <t>Qaytarilma_Faizi</t>
  </si>
  <si>
    <t>product_name</t>
  </si>
  <si>
    <t>category</t>
  </si>
  <si>
    <t>Qaytarilma_Sayi</t>
  </si>
  <si>
    <t>Toys</t>
  </si>
  <si>
    <t>Reason</t>
  </si>
  <si>
    <t>Pay_Faizi</t>
  </si>
  <si>
    <t>Customer Dissatisfaction</t>
  </si>
  <si>
    <t>Wrong Item</t>
  </si>
  <si>
    <t>Defective</t>
  </si>
  <si>
    <t>Category</t>
  </si>
  <si>
    <t>Orta_Menfeet_Faizi</t>
  </si>
  <si>
    <t>Home</t>
  </si>
  <si>
    <t>Books</t>
  </si>
  <si>
    <t>Electronics</t>
  </si>
  <si>
    <t>Clothing</t>
  </si>
  <si>
    <t>Yas_Qrupu</t>
  </si>
  <si>
    <t>Satis_Pay_Faizlə</t>
  </si>
  <si>
    <t>18-24</t>
  </si>
  <si>
    <t>25-35</t>
  </si>
  <si>
    <t>36-50</t>
  </si>
  <si>
    <t>50+</t>
  </si>
  <si>
    <t>Satis_2023</t>
  </si>
  <si>
    <t>Satis_2024</t>
  </si>
  <si>
    <t>Artim_Faizi</t>
  </si>
  <si>
    <t>Grand Total</t>
  </si>
  <si>
    <t>Sum of Satis_Meblegi</t>
  </si>
  <si>
    <t>Count of Sifaris_Sayi</t>
  </si>
  <si>
    <t>Aylar üzrə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</si>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</sst>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5F5F5"/>
      <color rgb="FFD4B1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Qaytar</a:t>
            </a:r>
            <a:r>
              <a:rPr lang="az-Latn-AZ"/>
              <a:t>ılma</a:t>
            </a:r>
            <a:r>
              <a:rPr lang="az-Latn-AZ" baseline="0"/>
              <a:t> göstəricisi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8C-4023-9A04-C5767FB3F2FA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8C-4023-9A04-C5767FB3F2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Qaytarilma_Faizi!$A$2:$B$2</c:f>
              <c:numCache>
                <c:formatCode>0.0%</c:formatCode>
                <c:ptCount val="2"/>
                <c:pt idx="0">
                  <c:v>0.19500000000000001</c:v>
                </c:pt>
                <c:pt idx="1">
                  <c:v>0.80499999999999994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8C-4023-9A04-C5767FB3F2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Ödəniş Üsullarına Göre Satış Payı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01-4EB4-9597-4EAD731AF5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01-4EB4-9597-4EAD731AF5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01-4EB4-9597-4EAD731AF59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Odenis_Usullari!$A$2:$A$4</c:f>
              <c:strCache>
                <c:ptCount val="3"/>
                <c:pt idx="0">
                  <c:v>Cash</c:v>
                </c:pt>
                <c:pt idx="1">
                  <c:v>Transfer</c:v>
                </c:pt>
                <c:pt idx="2">
                  <c:v>Card</c:v>
                </c:pt>
              </c:strCache>
            </c:strRef>
          </c:cat>
          <c:val>
            <c:numRef>
              <c:f>Odenis_Usullari!$B$2:$B$4</c:f>
              <c:numCache>
                <c:formatCode>General</c:formatCode>
                <c:ptCount val="3"/>
                <c:pt idx="0">
                  <c:v>153</c:v>
                </c:pt>
                <c:pt idx="1">
                  <c:v>146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01-4EB4-9597-4EAD731AF5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5 Alıcı</a:t>
            </a:r>
            <a:endParaRPr lang="en-U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musteri'!$A$2:$A$6</c:f>
              <c:strCache>
                <c:ptCount val="5"/>
                <c:pt idx="0">
                  <c:v>Customer 125</c:v>
                </c:pt>
                <c:pt idx="1">
                  <c:v>Customer 120</c:v>
                </c:pt>
                <c:pt idx="2">
                  <c:v>Customer 194</c:v>
                </c:pt>
                <c:pt idx="3">
                  <c:v>Customer 23</c:v>
                </c:pt>
                <c:pt idx="4">
                  <c:v>Customer 111</c:v>
                </c:pt>
              </c:strCache>
            </c:strRef>
          </c:cat>
          <c:val>
            <c:numRef>
              <c:f>'Top 5 musteri'!$B$2:$B$6</c:f>
              <c:numCache>
                <c:formatCode>General</c:formatCode>
                <c:ptCount val="5"/>
                <c:pt idx="0">
                  <c:v>57743</c:v>
                </c:pt>
                <c:pt idx="1">
                  <c:v>50589</c:v>
                </c:pt>
                <c:pt idx="2">
                  <c:v>45006</c:v>
                </c:pt>
                <c:pt idx="3">
                  <c:v>41134</c:v>
                </c:pt>
                <c:pt idx="4">
                  <c:v>40865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747-A15D-A486008499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489108095"/>
        <c:axId val="1311311839"/>
        <c:axId val="0"/>
      </c:bar3DChart>
      <c:catAx>
        <c:axId val="4891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11839"/>
        <c:crosses val="autoZero"/>
        <c:auto val="1"/>
        <c:lblAlgn val="ctr"/>
        <c:lblOffset val="100"/>
        <c:noMultiLvlLbl val="0"/>
      </c:catAx>
      <c:valAx>
        <c:axId val="13113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910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Top 5 Satılan məhsul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mehsul'!$A$2:$A$6</c:f>
              <c:strCache>
                <c:ptCount val="5"/>
                <c:pt idx="0">
                  <c:v>Product 21</c:v>
                </c:pt>
                <c:pt idx="1">
                  <c:v>Product 22</c:v>
                </c:pt>
                <c:pt idx="2">
                  <c:v>Product 11</c:v>
                </c:pt>
                <c:pt idx="3">
                  <c:v>Product 93</c:v>
                </c:pt>
                <c:pt idx="4">
                  <c:v>Product 88</c:v>
                </c:pt>
              </c:strCache>
            </c:strRef>
          </c:cat>
          <c:val>
            <c:numRef>
              <c:f>'Top 5 mehsul'!$B$2:$B$6</c:f>
              <c:numCache>
                <c:formatCode>General</c:formatCode>
                <c:ptCount val="5"/>
                <c:pt idx="0">
                  <c:v>72624</c:v>
                </c:pt>
                <c:pt idx="1">
                  <c:v>68069</c:v>
                </c:pt>
                <c:pt idx="2">
                  <c:v>66560</c:v>
                </c:pt>
                <c:pt idx="3">
                  <c:v>65159</c:v>
                </c:pt>
                <c:pt idx="4">
                  <c:v>60448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6-4187-9227-1C979CB98F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489106655"/>
        <c:axId val="489109055"/>
        <c:axId val="0"/>
      </c:bar3DChart>
      <c:catAx>
        <c:axId val="48910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09055"/>
        <c:crosses val="autoZero"/>
        <c:auto val="1"/>
        <c:lblAlgn val="ctr"/>
        <c:lblOffset val="100"/>
        <c:noMultiLvlLbl val="0"/>
      </c:catAx>
      <c:valAx>
        <c:axId val="489109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910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[Book1.xlsx]Aylıq Satış Trendi (2023–2024)!PivotTable2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'Aylıq Satış Trendi (2023–2024)'!$B$3</c:f>
              <c:strCache>
                <c:ptCount val="1"/>
                <c:pt idx="0">
                  <c:v>Sum of Satis_Meblegi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'Aylıq Satış Trendi (2023–2024)'!$A$4:$A$16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'Aylıq Satış Trendi (2023–2024)'!$B$4:$B$16</c:f>
              <c:numCache>
                <c:formatCode>General</c:formatCode>
                <c:ptCount val="12"/>
                <c:pt idx="0">
                  <c:v>208146</c:v>
                </c:pt>
                <c:pt idx="1">
                  <c:v>153540</c:v>
                </c:pt>
                <c:pt idx="2">
                  <c:v>218637</c:v>
                </c:pt>
                <c:pt idx="3">
                  <c:v>244763</c:v>
                </c:pt>
                <c:pt idx="4">
                  <c:v>230945</c:v>
                </c:pt>
                <c:pt idx="5">
                  <c:v>170664</c:v>
                </c:pt>
                <c:pt idx="6">
                  <c:v>285684</c:v>
                </c:pt>
                <c:pt idx="7">
                  <c:v>203071</c:v>
                </c:pt>
                <c:pt idx="8">
                  <c:v>231696</c:v>
                </c:pt>
                <c:pt idx="9">
                  <c:v>262477</c:v>
                </c:pt>
                <c:pt idx="10">
                  <c:v>105653</c:v>
                </c:pt>
                <c:pt idx="11">
                  <c:v>144968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ABC-BAC9-583DC03A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1667471"/>
        <c:axId val="421666031"/>
      </c:barChart>
      <c:lineChart>
        <c:grouping val="standard"/>
        <c:varyColors val="0"/>
        <c:ser>
          <c:idx val="1"/>
          <c:order val="1"/>
          <c:tx>
            <c:strRef>
              <c:f>'Aylıq Satış Trendi (2023–2024)'!$C$3</c:f>
              <c:strCache>
                <c:ptCount val="1"/>
                <c:pt idx="0">
                  <c:v>Count of Sifaris_Sayi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'Aylıq Satış Trendi (2023–2024)'!$A$4:$A$16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'Aylıq Satış Trendi (2023–2024)'!$C$4:$C$16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4-4ABC-BAC9-583DC03A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67471"/>
        <c:axId val="421666031"/>
      </c:lineChart>
      <c:catAx>
        <c:axId val="42166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6031"/>
        <c:crosses val="autoZero"/>
        <c:auto val="1"/>
        <c:lblAlgn val="ctr"/>
        <c:lblOffset val="100"/>
        <c:noMultiLvlLbl val="0"/>
      </c:catAx>
      <c:valAx>
        <c:axId val="4216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_xlchart.v2.10</cx:f>
      </cx:numDim>
    </cx:data>
    <cx:data id="1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Latn-AZ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Yaş Qrupu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funnel" uniqueId="{27908958-E692-46E9-B10D-8D0A189C9AFE}" formatIdx="0">
          <cx:dataLabels>
            <cx:visibility seriesName="0" categoryName="0" value="1"/>
          </cx:dataLabels>
          <cx:dataId val="0"/>
        </cx:series>
        <cx:series layoutId="funnel" hidden="1" uniqueId="{709B78F7-4722-4164-89E9-7AC634FDB630}" formatIdx="1">
          <cx:dataLabels>
            <cx:visibility seriesName="0" categoryName="0" value="1"/>
          </cx:dataLabels>
          <cx:dataId val="1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13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7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sv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20</xdr:row>
      <xdr:rowOff>19050</xdr:rowOff>
    </xdr:from>
    <xdr:to>
      <xdr:col>14</xdr:col>
      <xdr:colOff>552450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FD3F1-929D-491A-9129-EAEB10CA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5</xdr:row>
      <xdr:rowOff>123825</xdr:rowOff>
    </xdr:from>
    <xdr:to>
      <xdr:col>7</xdr:col>
      <xdr:colOff>285750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A34462-B158-411C-A3C8-E9D2A6D2A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19050</xdr:rowOff>
    </xdr:from>
    <xdr:to>
      <xdr:col>7</xdr:col>
      <xdr:colOff>276225</xdr:colOff>
      <xdr:row>34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237AA6-7521-4790-A222-770F0DE2A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276225</xdr:colOff>
      <xdr:row>5</xdr:row>
      <xdr:rowOff>133350</xdr:rowOff>
    </xdr:from>
    <xdr:to>
      <xdr:col>14</xdr:col>
      <xdr:colOff>561975</xdr:colOff>
      <xdr:row>20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1514BA-4F12-4240-9A69-CCB2EA28C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561975</xdr:colOff>
      <xdr:row>20</xdr:row>
      <xdr:rowOff>28575</xdr:rowOff>
    </xdr:from>
    <xdr:to>
      <xdr:col>22</xdr:col>
      <xdr:colOff>257175</xdr:colOff>
      <xdr:row>34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374B15-9578-43F4-8783-0984B5456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0</xdr:row>
      <xdr:rowOff>9525</xdr:rowOff>
    </xdr:from>
    <xdr:to>
      <xdr:col>11</xdr:col>
      <xdr:colOff>142875</xdr:colOff>
      <xdr:row>5</xdr:row>
      <xdr:rowOff>123825</xdr:rowOff>
    </xdr:to>
    <xdr:sp macro="" textlink="">
      <xdr:nvSpPr>
        <xdr:cNvPr id="7" name="Rectangle: Diagonal Corners Rounded 6">
          <a:extLst>
            <a:ext uri="{FF2B5EF4-FFF2-40B4-BE49-F238E27FC236}">
              <a16:creationId xmlns:a16="http://schemas.microsoft.com/office/drawing/2014/main" id="{27AE85BD-43D5-56C6-05B2-72948BEC597C}"/>
            </a:ext>
          </a:extLst>
        </xdr:cNvPr>
        <xdr:cNvSpPr/>
      </xdr:nvSpPr>
      <xdr:spPr>
        <a:xfrm>
          <a:off x="9525" y="9525"/>
          <a:ext cx="6838950" cy="1066800"/>
        </a:xfrm>
        <a:prstGeom prst="round2Diag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az-Latn-AZ" sz="1100"/>
            <a:t>                                          </a:t>
          </a:r>
          <a:r>
            <a:rPr lang="en-US" sz="1600" b="1">
              <a:solidFill>
                <a:sysClr val="windowText" lastClr="000000"/>
              </a:solidFill>
            </a:rPr>
            <a:t>Satış Performansı 2023–2024</a:t>
          </a:r>
          <a:r>
            <a:rPr lang="az-Latn-AZ" sz="1600" b="1">
              <a:solidFill>
                <a:sysClr val="windowText" lastClr="000000"/>
              </a:solidFill>
            </a:rPr>
            <a:t> Dashboard</a:t>
          </a:r>
          <a:endParaRPr lang="az-Latn-AZ" b="1">
            <a:solidFill>
              <a:sysClr val="windowText" lastClr="000000"/>
            </a:solidFill>
          </a:endParaRPr>
        </a:p>
        <a:p>
          <a:pPr algn="ctr"/>
          <a:r>
            <a:rPr lang="az-Latn-AZ" sz="1100" b="1" baseline="0">
              <a:solidFill>
                <a:sysClr val="windowText" lastClr="000000"/>
              </a:solidFill>
            </a:rPr>
            <a:t>                                          Period:2023-2024</a:t>
          </a:r>
        </a:p>
        <a:p>
          <a:pPr algn="ctr"/>
          <a:r>
            <a:rPr lang="az-Latn-AZ" sz="1100" b="1" baseline="0">
              <a:solidFill>
                <a:sysClr val="windowText" lastClr="000000"/>
              </a:solidFill>
            </a:rPr>
            <a:t>                                         Source: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RETAIL (E-COMMERCE) SALES ANALYSIS</a:t>
          </a:r>
          <a:r>
            <a:rPr lang="az-Latn-AZ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az-Latn-AZ" sz="1100" b="1" baseline="0">
            <a:solidFill>
              <a:sysClr val="windowText" lastClr="000000"/>
            </a:solidFill>
          </a:endParaRPr>
        </a:p>
        <a:p>
          <a:pPr algn="ctr"/>
          <a:r>
            <a:rPr lang="az-Latn-AZ" sz="1100" baseline="0"/>
            <a:t>  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304807</xdr:colOff>
      <xdr:row>5</xdr:row>
      <xdr:rowOff>19057</xdr:rowOff>
    </xdr:to>
    <xdr:pic>
      <xdr:nvPicPr>
        <xdr:cNvPr id="8" name="Picture 7" descr="Presentation with org chart with solid fill">
          <a:extLst>
            <a:ext uri="{FF2B5EF4-FFF2-40B4-BE49-F238E27FC236}">
              <a16:creationId xmlns:a16="http://schemas.microsoft.com/office/drawing/2014/main" id="{E7BAFE26-5E0F-281B-2145-D4A73769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150"/>
          <a:ext cx="914407" cy="914407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9</xdr:row>
      <xdr:rowOff>76200</xdr:rowOff>
    </xdr:from>
    <xdr:to>
      <xdr:col>4</xdr:col>
      <xdr:colOff>104775</xdr:colOff>
      <xdr:row>11</xdr:row>
      <xdr:rowOff>57150</xdr:rowOff>
    </xdr:to>
    <xdr:pic>
      <xdr:nvPicPr>
        <xdr:cNvPr id="31" name="Graphic 30" descr="Money with solid fill">
          <a:extLst>
            <a:ext uri="{FF2B5EF4-FFF2-40B4-BE49-F238E27FC236}">
              <a16:creationId xmlns:a16="http://schemas.microsoft.com/office/drawing/2014/main" id="{3B192AA0-024F-2A1B-B165-474DE1FCF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181225" y="179070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9</xdr:row>
      <xdr:rowOff>85726</xdr:rowOff>
    </xdr:from>
    <xdr:to>
      <xdr:col>2</xdr:col>
      <xdr:colOff>571500</xdr:colOff>
      <xdr:row>11</xdr:row>
      <xdr:rowOff>104775</xdr:rowOff>
    </xdr:to>
    <xdr:pic>
      <xdr:nvPicPr>
        <xdr:cNvPr id="33" name="Graphic 32" descr="Credit card with solid fill">
          <a:extLst>
            <a:ext uri="{FF2B5EF4-FFF2-40B4-BE49-F238E27FC236}">
              <a16:creationId xmlns:a16="http://schemas.microsoft.com/office/drawing/2014/main" id="{3B99E41F-546F-5301-2E4D-8BECF057D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90651" y="1800226"/>
          <a:ext cx="400049" cy="400049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17</xdr:row>
      <xdr:rowOff>19050</xdr:rowOff>
    </xdr:from>
    <xdr:to>
      <xdr:col>3</xdr:col>
      <xdr:colOff>285750</xdr:colOff>
      <xdr:row>19</xdr:row>
      <xdr:rowOff>38100</xdr:rowOff>
    </xdr:to>
    <xdr:pic>
      <xdr:nvPicPr>
        <xdr:cNvPr id="35" name="Graphic 34" descr="Transfer with solid fill">
          <a:extLst>
            <a:ext uri="{FF2B5EF4-FFF2-40B4-BE49-F238E27FC236}">
              <a16:creationId xmlns:a16="http://schemas.microsoft.com/office/drawing/2014/main" id="{C79D3194-72C3-0571-79C1-5685526AD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714500" y="3257550"/>
          <a:ext cx="400050" cy="400050"/>
        </a:xfrm>
        <a:prstGeom prst="rect">
          <a:avLst/>
        </a:prstGeom>
      </xdr:spPr>
    </xdr:pic>
    <xdr:clientData/>
  </xdr:twoCellAnchor>
  <xdr:twoCellAnchor>
    <xdr:from>
      <xdr:col>14</xdr:col>
      <xdr:colOff>571499</xdr:colOff>
      <xdr:row>5</xdr:row>
      <xdr:rowOff>133350</xdr:rowOff>
    </xdr:from>
    <xdr:to>
      <xdr:col>22</xdr:col>
      <xdr:colOff>257174</xdr:colOff>
      <xdr:row>20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1EF3CE0-329C-4932-9A77-234115441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899" y="1085850"/>
              <a:ext cx="4562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T_Admin" refreshedDate="46032.697781712966" createdVersion="8" refreshedVersion="8" minRefreshableVersion="3" recordCount="46" xr:uid="{0E957326-5C17-42D0-85EA-238BBE539C92}">
  <cacheSource type="worksheet">
    <worksheetSource name="_2"/>
  </cacheSource>
  <cacheFields count="4">
    <cacheField name="Il" numFmtId="0">
      <sharedItems containsSemiMixedTypes="0" containsString="0" containsNumber="1" containsInteger="1" minValue="2021" maxValue="2024"/>
    </cacheField>
    <cacheField name="Ay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ifaris_Sayi" numFmtId="0">
      <sharedItems containsSemiMixedTypes="0" containsString="0" containsNumber="1" containsInteger="1" minValue="3" maxValue="16"/>
    </cacheField>
    <cacheField name="Satis_Meblegi" numFmtId="0">
      <sharedItems containsSemiMixedTypes="0" containsString="0" containsNumber="1" containsInteger="1" minValue="27026" maxValue="101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1"/>
    <x v="0"/>
    <n v="8"/>
    <n v="41261"/>
  </r>
  <r>
    <n v="2021"/>
    <x v="1"/>
    <n v="7"/>
    <n v="32601"/>
  </r>
  <r>
    <n v="2021"/>
    <x v="2"/>
    <n v="5"/>
    <n v="30164"/>
  </r>
  <r>
    <n v="2021"/>
    <x v="3"/>
    <n v="8"/>
    <n v="33181"/>
  </r>
  <r>
    <n v="2021"/>
    <x v="4"/>
    <n v="11"/>
    <n v="76790"/>
  </r>
  <r>
    <n v="2021"/>
    <x v="5"/>
    <n v="9"/>
    <n v="45186"/>
  </r>
  <r>
    <n v="2021"/>
    <x v="6"/>
    <n v="12"/>
    <n v="85406"/>
  </r>
  <r>
    <n v="2021"/>
    <x v="7"/>
    <n v="16"/>
    <n v="82691"/>
  </r>
  <r>
    <n v="2021"/>
    <x v="8"/>
    <n v="13"/>
    <n v="63380"/>
  </r>
  <r>
    <n v="2021"/>
    <x v="9"/>
    <n v="9"/>
    <n v="31452"/>
  </r>
  <r>
    <n v="2021"/>
    <x v="10"/>
    <n v="7"/>
    <n v="31458"/>
  </r>
  <r>
    <n v="2021"/>
    <x v="11"/>
    <n v="9"/>
    <n v="42312"/>
  </r>
  <r>
    <n v="2022"/>
    <x v="0"/>
    <n v="3"/>
    <n v="31365"/>
  </r>
  <r>
    <n v="2022"/>
    <x v="1"/>
    <n v="5"/>
    <n v="34433"/>
  </r>
  <r>
    <n v="2022"/>
    <x v="2"/>
    <n v="13"/>
    <n v="101661"/>
  </r>
  <r>
    <n v="2022"/>
    <x v="3"/>
    <n v="11"/>
    <n v="87502"/>
  </r>
  <r>
    <n v="2022"/>
    <x v="4"/>
    <n v="7"/>
    <n v="53652"/>
  </r>
  <r>
    <n v="2022"/>
    <x v="5"/>
    <n v="7"/>
    <n v="35756"/>
  </r>
  <r>
    <n v="2022"/>
    <x v="6"/>
    <n v="10"/>
    <n v="41642"/>
  </r>
  <r>
    <n v="2022"/>
    <x v="7"/>
    <n v="9"/>
    <n v="40155"/>
  </r>
  <r>
    <n v="2022"/>
    <x v="8"/>
    <n v="10"/>
    <n v="46251"/>
  </r>
  <r>
    <n v="2022"/>
    <x v="9"/>
    <n v="9"/>
    <n v="73930"/>
  </r>
  <r>
    <n v="2022"/>
    <x v="10"/>
    <n v="11"/>
    <n v="47169"/>
  </r>
  <r>
    <n v="2022"/>
    <x v="11"/>
    <n v="7"/>
    <n v="39909"/>
  </r>
  <r>
    <n v="2023"/>
    <x v="0"/>
    <n v="13"/>
    <n v="78870"/>
  </r>
  <r>
    <n v="2023"/>
    <x v="1"/>
    <n v="6"/>
    <n v="38352"/>
  </r>
  <r>
    <n v="2023"/>
    <x v="2"/>
    <n v="8"/>
    <n v="30554"/>
  </r>
  <r>
    <n v="2023"/>
    <x v="3"/>
    <n v="9"/>
    <n v="47476"/>
  </r>
  <r>
    <n v="2023"/>
    <x v="4"/>
    <n v="11"/>
    <n v="51728"/>
  </r>
  <r>
    <n v="2023"/>
    <x v="5"/>
    <n v="10"/>
    <n v="52893"/>
  </r>
  <r>
    <n v="2023"/>
    <x v="6"/>
    <n v="13"/>
    <n v="96687"/>
  </r>
  <r>
    <n v="2023"/>
    <x v="7"/>
    <n v="8"/>
    <n v="32360"/>
  </r>
  <r>
    <n v="2023"/>
    <x v="8"/>
    <n v="6"/>
    <n v="27396"/>
  </r>
  <r>
    <n v="2023"/>
    <x v="9"/>
    <n v="9"/>
    <n v="61163"/>
  </r>
  <r>
    <n v="2023"/>
    <x v="10"/>
    <n v="5"/>
    <n v="27026"/>
  </r>
  <r>
    <n v="2023"/>
    <x v="11"/>
    <n v="8"/>
    <n v="62747"/>
  </r>
  <r>
    <n v="2024"/>
    <x v="0"/>
    <n v="6"/>
    <n v="56650"/>
  </r>
  <r>
    <n v="2024"/>
    <x v="1"/>
    <n v="11"/>
    <n v="48154"/>
  </r>
  <r>
    <n v="2024"/>
    <x v="2"/>
    <n v="11"/>
    <n v="56258"/>
  </r>
  <r>
    <n v="2024"/>
    <x v="3"/>
    <n v="13"/>
    <n v="76604"/>
  </r>
  <r>
    <n v="2024"/>
    <x v="4"/>
    <n v="10"/>
    <n v="48775"/>
  </r>
  <r>
    <n v="2024"/>
    <x v="5"/>
    <n v="7"/>
    <n v="36829"/>
  </r>
  <r>
    <n v="2024"/>
    <x v="6"/>
    <n v="10"/>
    <n v="61949"/>
  </r>
  <r>
    <n v="2024"/>
    <x v="7"/>
    <n v="12"/>
    <n v="47865"/>
  </r>
  <r>
    <n v="2024"/>
    <x v="8"/>
    <n v="14"/>
    <n v="94669"/>
  </r>
  <r>
    <n v="2024"/>
    <x v="9"/>
    <n v="16"/>
    <n v="959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C6709-6664-4070-B333-EB208ABAF0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ylar üzrə">
  <location ref="A3:C16" firstHeaderRow="0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tis_Meblegi" fld="3" baseField="0" baseItem="0"/>
    <dataField name="Count of Sifaris_Sayi" fld="2" subtotal="count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3762FC-325F-4513-8EF8-F3D7A3FF4C87}" autoFormatId="16" applyNumberFormats="0" applyBorderFormats="0" applyFontFormats="0" applyPatternFormats="0" applyAlignmentFormats="0" applyWidthHeightFormats="0">
  <queryTableRefresh nextId="2">
    <queryTableFields count="1">
      <queryTableField id="1" name="Ümumi_Satış_Məbləği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3B3A4E9-9CCE-4D0E-874A-86922BF4BFD7}" autoFormatId="16" applyNumberFormats="0" applyBorderFormats="0" applyFontFormats="0" applyPatternFormats="0" applyAlignmentFormats="0" applyWidthHeightFormats="0">
  <queryTableRefresh nextId="5">
    <queryTableFields count="4">
      <queryTableField id="1" name="Il" tableColumnId="1"/>
      <queryTableField id="2" name="Ay" tableColumnId="2"/>
      <queryTableField id="3" name="Sifaris_Sayi" tableColumnId="3"/>
      <queryTableField id="4" name="Satis_Meblegi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63B7F82-0AFA-4292-872D-1AC7AE932A11}" autoFormatId="16" applyNumberFormats="0" applyBorderFormats="0" applyFontFormats="0" applyPatternFormats="0" applyAlignmentFormats="0" applyWidthHeightFormats="0">
  <queryTableRefresh nextId="5">
    <queryTableFields count="4">
      <queryTableField id="1" name="Product_Name" tableColumnId="1"/>
      <queryTableField id="2" name="Umumi_Gelir" tableColumnId="2"/>
      <queryTableField id="3" name="Maya_Deyeri" tableColumnId="3"/>
      <queryTableField id="4" name="Menfee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D8BAD1E-C91F-4CCC-B6A6-94BB76494E73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Umumi_geli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7E8F021E-AF64-42B4-84A4-B7065B0C3EA2}" autoFormatId="16" applyNumberFormats="0" applyBorderFormats="0" applyFontFormats="0" applyPatternFormats="0" applyAlignmentFormats="0" applyWidthHeightFormats="0">
  <queryTableRefresh nextId="3">
    <queryTableFields count="2">
      <queryTableField id="1" name="Full_Name" tableColumnId="1"/>
      <queryTableField id="2" name="Umumi_Alis_Veri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C99329FC-EA12-4C32-BBE1-A63BDA4A4D83}" autoFormatId="16" applyNumberFormats="0" applyBorderFormats="0" applyFontFormats="0" applyPatternFormats="0" applyAlignmentFormats="0" applyWidthHeightFormats="0">
  <queryTableRefresh nextId="4">
    <queryTableFields count="3">
      <queryTableField id="1" name="Şəhər" tableColumnId="1"/>
      <queryTableField id="2" name="Sifaris_Sayi" tableColumnId="2"/>
      <queryTableField id="3" name="Umumi_Sati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DEE034C-EE42-42D0-B7E1-02CBC03BD483}" autoFormatId="16" applyNumberFormats="0" applyBorderFormats="0" applyFontFormats="0" applyPatternFormats="0" applyAlignmentFormats="0" applyWidthHeightFormats="0">
  <queryTableRefresh nextId="5">
    <queryTableFields count="4">
      <queryTableField id="1" name="Sifaris_Novu" tableColumnId="1"/>
      <queryTableField id="2" name="Sifaris_Detallari_Sayi" tableColumnId="2"/>
      <queryTableField id="3" name="Umumi_Satis_Meblegi" tableColumnId="3"/>
      <queryTableField id="4" name="Orta_Satis_Meblegi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5BE8F40-94F1-42A5-93D2-E0BE4991AD28}" autoFormatId="16" applyNumberFormats="0" applyBorderFormats="0" applyFontFormats="0" applyPatternFormats="0" applyAlignmentFormats="0" applyWidthHeightFormats="0">
  <queryTableRefresh nextId="4">
    <queryTableFields count="3">
      <queryTableField id="1" name="Payment_Metod" tableColumnId="1"/>
      <queryTableField id="2" name="Sifaris_Sayi" tableColumnId="2"/>
      <queryTableField id="3" name="Umumi_Sati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13B17B5-D51E-4FE2-BD13-D571F5C1ADB3}" autoFormatId="16" applyNumberFormats="0" applyBorderFormats="0" applyFontFormats="0" applyPatternFormats="0" applyAlignmentFormats="0" applyWidthHeightFormats="0">
  <queryTableRefresh nextId="4">
    <queryTableFields count="3">
      <queryTableField id="1" name="Status" tableColumnId="1"/>
      <queryTableField id="2" name="Say" tableColumnId="2"/>
      <queryTableField id="3" name="Faiz_Nisbeti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F66266-AA0B-4653-9F20-3609CE69202D}" autoFormatId="16" applyNumberFormats="0" applyBorderFormats="0" applyFontFormats="0" applyPatternFormats="0" applyAlignmentFormats="0" applyWidthHeightFormats="0">
  <queryTableRefresh nextId="4" unboundColumnsRight="1">
    <queryTableFields count="2">
      <queryTableField id="1" name="Qaytarilma_Faizi" tableColumnId="1"/>
      <queryTableField id="3" dataBound="0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8F7B28A-BF02-4945-B053-83466DA14752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category" tableColumnId="2"/>
      <queryTableField id="3" name="Qaytarilma_Sayi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8383B15-67BE-4BA3-9570-78FF0284351F}" autoFormatId="16" applyNumberFormats="0" applyBorderFormats="0" applyFontFormats="0" applyPatternFormats="0" applyAlignmentFormats="0" applyWidthHeightFormats="0">
  <queryTableRefresh nextId="4">
    <queryTableFields count="3">
      <queryTableField id="1" name="Reason" tableColumnId="1"/>
      <queryTableField id="2" name="Say" tableColumnId="2"/>
      <queryTableField id="3" name="Pay_Faizi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6C74A61-9F03-4546-9D5E-651E2E5F6E06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Orta_Menfeet_Faizi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D77E8B72-98C0-475C-A926-8C6A2C2C68C0}" autoFormatId="16" applyNumberFormats="0" applyBorderFormats="0" applyFontFormats="0" applyPatternFormats="0" applyAlignmentFormats="0" applyWidthHeightFormats="0">
  <queryTableRefresh nextId="4">
    <queryTableFields count="3">
      <queryTableField id="1" name="Yas_Qrupu" tableColumnId="1"/>
      <queryTableField id="2" name="Umumi_Satis" tableColumnId="2"/>
      <queryTableField id="3" name="Satis_Pay_Faizlə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D6A91041-5B55-4DCB-AD63-515601D1C208}" autoFormatId="16" applyNumberFormats="0" applyBorderFormats="0" applyFontFormats="0" applyPatternFormats="0" applyAlignmentFormats="0" applyWidthHeightFormats="0">
  <queryTableRefresh nextId="4">
    <queryTableFields count="3">
      <queryTableField id="1" name="Satis_2023" tableColumnId="1"/>
      <queryTableField id="2" name="Satis_2024" tableColumnId="2"/>
      <queryTableField id="3" name="Artim_Faiz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D666B-CEEE-4B4B-996E-34CE35E2ACE5}" name="_1" displayName="_1" ref="A1:A2" tableType="queryTable" totalsRowShown="0">
  <autoFilter ref="A1:A2" xr:uid="{8C9D666B-CEEE-4B4B-996E-34CE35E2ACE5}"/>
  <tableColumns count="1">
    <tableColumn id="1" xr3:uid="{9A30D456-505F-4BCC-ADE0-753D997971B2}" uniqueName="1" name="Ümumi_Satış_Məbləği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CDE232-5A5C-476D-8CE4-4FE036EFD50B}" name="_2" displayName="_2" ref="A1:D47" tableType="queryTable" totalsRowShown="0">
  <autoFilter ref="A1:D47" xr:uid="{33CDE232-5A5C-476D-8CE4-4FE036EFD50B}"/>
  <tableColumns count="4">
    <tableColumn id="1" xr3:uid="{89B16897-0FC3-4AE3-90D8-33F56154A6F3}" uniqueName="1" name="Il" queryTableFieldId="1"/>
    <tableColumn id="2" xr3:uid="{2F4B8B29-0DDB-40C5-88E0-1FD232DDD0BA}" uniqueName="2" name="Ay" queryTableFieldId="2"/>
    <tableColumn id="3" xr3:uid="{16F76073-52F4-49C1-98C5-955A7A6622DF}" uniqueName="3" name="Sifaris_Sayi" queryTableFieldId="3"/>
    <tableColumn id="4" xr3:uid="{C47E8F03-AE89-4821-A4B5-FD8130FDE8AC}" uniqueName="4" name="Satis_Meblegi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430E96-1044-4CC7-B36A-D2121C5673B6}" name="_3" displayName="_3" ref="A1:D101" tableType="queryTable" totalsRowShown="0">
  <autoFilter ref="A1:D101" xr:uid="{C6430E96-1044-4CC7-B36A-D2121C5673B6}"/>
  <tableColumns count="4">
    <tableColumn id="1" xr3:uid="{37867B14-9115-402A-B93F-8E9E47DDF24A}" uniqueName="1" name="Product_Name" queryTableFieldId="1" dataDxfId="15"/>
    <tableColumn id="2" xr3:uid="{2E47A24B-604F-4CDC-81B8-A6E5663A435C}" uniqueName="2" name="Umumi_Gelir" queryTableFieldId="2"/>
    <tableColumn id="3" xr3:uid="{C376C94B-D69C-46AD-B2CA-D586D8F2B3B7}" uniqueName="3" name="Maya_Deyeri" queryTableFieldId="3"/>
    <tableColumn id="4" xr3:uid="{D86F0AF6-929C-441F-9A5E-46E7C84788D9}" uniqueName="4" name="Menfeet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F652C-EE69-441E-8C9B-B192FA2ADB01}" name="_4" displayName="_4" ref="A1:B6" tableType="queryTable" totalsRowShown="0">
  <autoFilter ref="A1:B6" xr:uid="{994F652C-EE69-441E-8C9B-B192FA2ADB01}"/>
  <tableColumns count="2">
    <tableColumn id="1" xr3:uid="{511E4418-0758-4F4E-AA3C-CEEC50EA8076}" uniqueName="1" name="Product_Name" queryTableFieldId="1" dataDxfId="14"/>
    <tableColumn id="2" xr3:uid="{2A2468B7-38F5-4656-9025-895D746F63AA}" uniqueName="2" name="Umumi_gelir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F3F541-B9F1-4682-87FA-F4F0CA77417F}" name="_5" displayName="_5" ref="A1:B6" tableType="queryTable" totalsRowShown="0">
  <autoFilter ref="A1:B6" xr:uid="{29F3F541-B9F1-4682-87FA-F4F0CA77417F}"/>
  <tableColumns count="2">
    <tableColumn id="1" xr3:uid="{2662BCA6-96FE-422A-AB72-32E11B2FA053}" uniqueName="1" name="Full_Name" queryTableFieldId="1" dataDxfId="13"/>
    <tableColumn id="2" xr3:uid="{7AB9F1F6-83B4-4C12-9DC5-9A476A60BB85}" uniqueName="2" name="Umumi_Alis_Veris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C07500-C0E8-48CD-99F3-43F262164D9D}" name="_6" displayName="_6" ref="A1:C6" tableType="queryTable" totalsRowShown="0">
  <autoFilter ref="A1:C6" xr:uid="{1BC07500-C0E8-48CD-99F3-43F262164D9D}"/>
  <tableColumns count="3">
    <tableColumn id="1" xr3:uid="{E14B8B23-BB5B-46CD-A57E-26622A6D0325}" uniqueName="1" name="Şəhər" queryTableFieldId="1" dataDxfId="12"/>
    <tableColumn id="2" xr3:uid="{C66A142C-8852-4C6C-9D76-EC6E190B136F}" uniqueName="2" name="Sifaris_Sayi" queryTableFieldId="2"/>
    <tableColumn id="3" xr3:uid="{C771B233-0157-491F-A888-972CBB6B5E2B}" uniqueName="3" name="Umumi_Satis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7ECBDE-D8E3-4502-9058-18350AADA230}" name="_7" displayName="_7" ref="A1:D3" tableType="queryTable" totalsRowShown="0">
  <autoFilter ref="A1:D3" xr:uid="{AA7ECBDE-D8E3-4502-9058-18350AADA230}"/>
  <tableColumns count="4">
    <tableColumn id="1" xr3:uid="{70C02A6F-E9BD-431E-9DA3-05DC44F56932}" uniqueName="1" name="Sifaris_Novu" queryTableFieldId="1" dataDxfId="11"/>
    <tableColumn id="2" xr3:uid="{7997635B-4C8B-4657-BEB8-295EAE92F26E}" uniqueName="2" name="Sifaris_Detallari_Sayi" queryTableFieldId="2"/>
    <tableColumn id="3" xr3:uid="{61163E0B-583A-4AEE-B855-6EC96E0692B0}" uniqueName="3" name="Umumi_Satis_Meblegi" queryTableFieldId="3"/>
    <tableColumn id="4" xr3:uid="{8743575E-4D44-42F1-B6D8-816A22744D4A}" uniqueName="4" name="Orta_Satis_Meblegi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76F50A-EBC0-4898-B7BD-712775DB8CDD}" name="_8" displayName="_8" ref="A1:C4" tableType="queryTable" totalsRowShown="0">
  <autoFilter ref="A1:C4" xr:uid="{F876F50A-EBC0-4898-B7BD-712775DB8CDD}"/>
  <tableColumns count="3">
    <tableColumn id="1" xr3:uid="{FD345B4C-C52F-4D9D-B754-789B1025B378}" uniqueName="1" name="Payment_Metod" queryTableFieldId="1" dataDxfId="10"/>
    <tableColumn id="2" xr3:uid="{C8C351B8-46E1-4FF0-B6B6-22D3F0EE07C6}" uniqueName="2" name="Sifaris_Sayi" queryTableFieldId="2"/>
    <tableColumn id="3" xr3:uid="{ACBCABF6-CB32-4D24-A987-6F1E03AC147B}" uniqueName="3" name="Umumi_Satis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F0BAE0-DA6D-4D74-BECF-0CCD12201A79}" name="_9" displayName="_9" ref="A1:C4" tableType="queryTable" totalsRowShown="0">
  <autoFilter ref="A1:C4" xr:uid="{EFF0BAE0-DA6D-4D74-BECF-0CCD12201A79}"/>
  <tableColumns count="3">
    <tableColumn id="1" xr3:uid="{72DE89F3-9A27-447E-84A8-82A20FD77432}" uniqueName="1" name="Status" queryTableFieldId="1" dataDxfId="9"/>
    <tableColumn id="2" xr3:uid="{348EDCD0-27E7-4B85-83E7-49B9545233C9}" uniqueName="2" name="Say" queryTableFieldId="2"/>
    <tableColumn id="3" xr3:uid="{0697BCF8-C1CE-42C4-97EB-0D5C669A8BF6}" uniqueName="3" name="Faiz_Nisbeti" queryTableField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0BB2D8-FDBD-4CAB-90F7-AA0D165FEB87}" name="_10" displayName="_10" ref="A1:B2" tableType="queryTable" dataDxfId="8" dataCellStyle="Percent">
  <autoFilter ref="A1:B2" xr:uid="{9D0BB2D8-FDBD-4CAB-90F7-AA0D165FEB87}"/>
  <tableColumns count="2">
    <tableColumn id="1" xr3:uid="{6A7ECAD8-DC43-4C3D-B476-C50A0B34CDE4}" uniqueName="1" name="Qaytarilma_Faizi" queryTableFieldId="1" dataDxfId="7" totalsRowDxfId="6" dataCellStyle="Percent"/>
    <tableColumn id="3" xr3:uid="{E9DF46CE-71A4-4FE5-8423-7C8DEADF5833}" uniqueName="3" name="Column1" queryTableFieldId="3" dataDxfId="5" dataCellStyle="Percent">
      <calculatedColumnFormula array="1">1-_10[Qaytarilma_Faizi]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4F86B4-810B-4F96-8F3D-39FA5750CF02}" name="_11" displayName="_11" ref="A1:C2" tableType="queryTable" totalsRowShown="0">
  <autoFilter ref="A1:C2" xr:uid="{C44F86B4-810B-4F96-8F3D-39FA5750CF02}"/>
  <tableColumns count="3">
    <tableColumn id="1" xr3:uid="{66D7F2EC-0259-4B9B-A592-5DC4AE6C72F6}" uniqueName="1" name="product_name" queryTableFieldId="1" dataDxfId="4"/>
    <tableColumn id="2" xr3:uid="{E06455D8-832C-4A19-B37D-B294E382CF69}" uniqueName="2" name="category" queryTableFieldId="2" dataDxfId="3"/>
    <tableColumn id="3" xr3:uid="{E2D5F6BC-C84D-4FE6-8698-ECDE0C7B6299}" uniqueName="3" name="Qaytarilma_Sayi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8DE687-ED80-4C9C-B581-B771278131DE}" name="_12" displayName="_12" ref="A1:C4" tableType="queryTable" totalsRowShown="0">
  <autoFilter ref="A1:C4" xr:uid="{A88DE687-ED80-4C9C-B581-B771278131DE}"/>
  <tableColumns count="3">
    <tableColumn id="1" xr3:uid="{D0FF1801-DD4C-49E5-AEFC-71FB16EE96A2}" uniqueName="1" name="Reason" queryTableFieldId="1" dataDxfId="2"/>
    <tableColumn id="2" xr3:uid="{BAC2169A-31B4-4DCD-9A58-47E09DB3B07D}" uniqueName="2" name="Say" queryTableFieldId="2"/>
    <tableColumn id="3" xr3:uid="{3D7EC817-70C1-4EC6-B9F1-FB6C5542AB6E}" uniqueName="3" name="Pay_Faizi" queryTableField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AAD9D2-0E8C-4FC7-B4D4-E4E358F5B91D}" name="B1_" displayName="B1_" ref="A1:B6" tableType="queryTable" totalsRowShown="0">
  <autoFilter ref="A1:B6" xr:uid="{25AAD9D2-0E8C-4FC7-B4D4-E4E358F5B91D}"/>
  <tableColumns count="2">
    <tableColumn id="1" xr3:uid="{9DD87541-55D7-40B1-B609-B58890D7E99F}" uniqueName="1" name="Category" queryTableFieldId="1" dataDxfId="1"/>
    <tableColumn id="2" xr3:uid="{BDE8042C-8323-4DC5-A50D-349808E745E7}" uniqueName="2" name="Orta_Menfeet_Faizi" queryTableFieldId="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6F3432-DF31-4D43-BAB2-7C84D35230A7}" name="B2_" displayName="B2_" ref="A1:C5" tableType="queryTable" totalsRowShown="0">
  <autoFilter ref="A1:C5" xr:uid="{A56F3432-DF31-4D43-BAB2-7C84D35230A7}"/>
  <tableColumns count="3">
    <tableColumn id="1" xr3:uid="{8770FA59-2178-4D9B-BB8C-85936E9A7414}" uniqueName="1" name="Yas_Qrupu" queryTableFieldId="1" dataDxfId="0"/>
    <tableColumn id="2" xr3:uid="{71E41BB4-1733-4EDD-8E42-CC4A695FCE59}" uniqueName="2" name="Umumi_Satis" queryTableFieldId="2"/>
    <tableColumn id="3" xr3:uid="{9E0086EA-E700-4A8C-B1B6-01C601CFE4F6}" uniqueName="3" name="Satis_Pay_Faizlə" queryTableFieldId="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A40808-A0A1-4C0D-BA46-09E0CABFE35B}" name="B3_" displayName="B3_" ref="A1:C2" tableType="queryTable" totalsRowShown="0">
  <autoFilter ref="A1:C2" xr:uid="{C6A40808-A0A1-4C0D-BA46-09E0CABFE35B}"/>
  <tableColumns count="3">
    <tableColumn id="1" xr3:uid="{DA97540E-9C4A-4B96-99EB-4ED43FB47B6E}" uniqueName="1" name="Satis_2023" queryTableFieldId="1"/>
    <tableColumn id="2" xr3:uid="{9E665846-B0C2-4EB0-B262-97A593435B14}" uniqueName="2" name="Satis_2024" queryTableFieldId="2"/>
    <tableColumn id="3" xr3:uid="{47F9273B-0DE9-4F53-8937-21BB99397234}" uniqueName="3" name="Artim_Faizi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BA07-4FE3-4638-9B20-47D1B89686D9}">
  <dimension ref="A1:A2"/>
  <sheetViews>
    <sheetView workbookViewId="0">
      <selection activeCell="M20" sqref="M20"/>
    </sheetView>
  </sheetViews>
  <sheetFormatPr defaultRowHeight="15" x14ac:dyDescent="0.25"/>
  <cols>
    <col min="1" max="1" width="23.28515625" bestFit="1" customWidth="1"/>
  </cols>
  <sheetData>
    <row r="1" spans="1:1" x14ac:dyDescent="0.25">
      <c r="A1" t="s">
        <v>0</v>
      </c>
    </row>
    <row r="2" spans="1:1" x14ac:dyDescent="0.25">
      <c r="A2">
        <v>2460244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437-718B-4244-88C3-495DA6772CE4}">
  <dimension ref="A1:D47"/>
  <sheetViews>
    <sheetView workbookViewId="0">
      <selection sqref="A1:D47"/>
    </sheetView>
  </sheetViews>
  <sheetFormatPr defaultRowHeight="15" x14ac:dyDescent="0.25"/>
  <cols>
    <col min="1" max="1" width="5" bestFit="1" customWidth="1"/>
    <col min="2" max="2" width="5.42578125" bestFit="1" customWidth="1"/>
    <col min="3" max="3" width="13.5703125" bestFit="1" customWidth="1"/>
    <col min="4" max="4" width="15.8554687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2021</v>
      </c>
      <c r="B2">
        <v>1</v>
      </c>
      <c r="C2">
        <v>8</v>
      </c>
      <c r="D2">
        <v>41261</v>
      </c>
    </row>
    <row r="3" spans="1:4" x14ac:dyDescent="0.25">
      <c r="A3">
        <v>2021</v>
      </c>
      <c r="B3">
        <v>2</v>
      </c>
      <c r="C3">
        <v>7</v>
      </c>
      <c r="D3">
        <v>32601</v>
      </c>
    </row>
    <row r="4" spans="1:4" x14ac:dyDescent="0.25">
      <c r="A4">
        <v>2021</v>
      </c>
      <c r="B4">
        <v>3</v>
      </c>
      <c r="C4">
        <v>5</v>
      </c>
      <c r="D4">
        <v>30164</v>
      </c>
    </row>
    <row r="5" spans="1:4" x14ac:dyDescent="0.25">
      <c r="A5">
        <v>2021</v>
      </c>
      <c r="B5">
        <v>4</v>
      </c>
      <c r="C5">
        <v>8</v>
      </c>
      <c r="D5">
        <v>33181</v>
      </c>
    </row>
    <row r="6" spans="1:4" x14ac:dyDescent="0.25">
      <c r="A6">
        <v>2021</v>
      </c>
      <c r="B6">
        <v>5</v>
      </c>
      <c r="C6">
        <v>11</v>
      </c>
      <c r="D6">
        <v>76790</v>
      </c>
    </row>
    <row r="7" spans="1:4" x14ac:dyDescent="0.25">
      <c r="A7">
        <v>2021</v>
      </c>
      <c r="B7">
        <v>6</v>
      </c>
      <c r="C7">
        <v>9</v>
      </c>
      <c r="D7">
        <v>45186</v>
      </c>
    </row>
    <row r="8" spans="1:4" x14ac:dyDescent="0.25">
      <c r="A8">
        <v>2021</v>
      </c>
      <c r="B8">
        <v>7</v>
      </c>
      <c r="C8">
        <v>12</v>
      </c>
      <c r="D8">
        <v>85406</v>
      </c>
    </row>
    <row r="9" spans="1:4" x14ac:dyDescent="0.25">
      <c r="A9">
        <v>2021</v>
      </c>
      <c r="B9">
        <v>8</v>
      </c>
      <c r="C9">
        <v>16</v>
      </c>
      <c r="D9">
        <v>82691</v>
      </c>
    </row>
    <row r="10" spans="1:4" x14ac:dyDescent="0.25">
      <c r="A10">
        <v>2021</v>
      </c>
      <c r="B10">
        <v>9</v>
      </c>
      <c r="C10">
        <v>13</v>
      </c>
      <c r="D10">
        <v>63380</v>
      </c>
    </row>
    <row r="11" spans="1:4" x14ac:dyDescent="0.25">
      <c r="A11">
        <v>2021</v>
      </c>
      <c r="B11">
        <v>10</v>
      </c>
      <c r="C11">
        <v>9</v>
      </c>
      <c r="D11">
        <v>31452</v>
      </c>
    </row>
    <row r="12" spans="1:4" x14ac:dyDescent="0.25">
      <c r="A12">
        <v>2021</v>
      </c>
      <c r="B12">
        <v>11</v>
      </c>
      <c r="C12">
        <v>7</v>
      </c>
      <c r="D12">
        <v>31458</v>
      </c>
    </row>
    <row r="13" spans="1:4" x14ac:dyDescent="0.25">
      <c r="A13">
        <v>2021</v>
      </c>
      <c r="B13">
        <v>12</v>
      </c>
      <c r="C13">
        <v>9</v>
      </c>
      <c r="D13">
        <v>42312</v>
      </c>
    </row>
    <row r="14" spans="1:4" x14ac:dyDescent="0.25">
      <c r="A14">
        <v>2022</v>
      </c>
      <c r="B14">
        <v>1</v>
      </c>
      <c r="C14">
        <v>3</v>
      </c>
      <c r="D14">
        <v>31365</v>
      </c>
    </row>
    <row r="15" spans="1:4" x14ac:dyDescent="0.25">
      <c r="A15">
        <v>2022</v>
      </c>
      <c r="B15">
        <v>2</v>
      </c>
      <c r="C15">
        <v>5</v>
      </c>
      <c r="D15">
        <v>34433</v>
      </c>
    </row>
    <row r="16" spans="1:4" x14ac:dyDescent="0.25">
      <c r="A16">
        <v>2022</v>
      </c>
      <c r="B16">
        <v>3</v>
      </c>
      <c r="C16">
        <v>13</v>
      </c>
      <c r="D16">
        <v>101661</v>
      </c>
    </row>
    <row r="17" spans="1:4" x14ac:dyDescent="0.25">
      <c r="A17">
        <v>2022</v>
      </c>
      <c r="B17">
        <v>4</v>
      </c>
      <c r="C17">
        <v>11</v>
      </c>
      <c r="D17">
        <v>87502</v>
      </c>
    </row>
    <row r="18" spans="1:4" x14ac:dyDescent="0.25">
      <c r="A18">
        <v>2022</v>
      </c>
      <c r="B18">
        <v>5</v>
      </c>
      <c r="C18">
        <v>7</v>
      </c>
      <c r="D18">
        <v>53652</v>
      </c>
    </row>
    <row r="19" spans="1:4" x14ac:dyDescent="0.25">
      <c r="A19">
        <v>2022</v>
      </c>
      <c r="B19">
        <v>6</v>
      </c>
      <c r="C19">
        <v>7</v>
      </c>
      <c r="D19">
        <v>35756</v>
      </c>
    </row>
    <row r="20" spans="1:4" x14ac:dyDescent="0.25">
      <c r="A20">
        <v>2022</v>
      </c>
      <c r="B20">
        <v>7</v>
      </c>
      <c r="C20">
        <v>10</v>
      </c>
      <c r="D20">
        <v>41642</v>
      </c>
    </row>
    <row r="21" spans="1:4" x14ac:dyDescent="0.25">
      <c r="A21">
        <v>2022</v>
      </c>
      <c r="B21">
        <v>8</v>
      </c>
      <c r="C21">
        <v>9</v>
      </c>
      <c r="D21">
        <v>40155</v>
      </c>
    </row>
    <row r="22" spans="1:4" x14ac:dyDescent="0.25">
      <c r="A22">
        <v>2022</v>
      </c>
      <c r="B22">
        <v>9</v>
      </c>
      <c r="C22">
        <v>10</v>
      </c>
      <c r="D22">
        <v>46251</v>
      </c>
    </row>
    <row r="23" spans="1:4" x14ac:dyDescent="0.25">
      <c r="A23">
        <v>2022</v>
      </c>
      <c r="B23">
        <v>10</v>
      </c>
      <c r="C23">
        <v>9</v>
      </c>
      <c r="D23">
        <v>73930</v>
      </c>
    </row>
    <row r="24" spans="1:4" x14ac:dyDescent="0.25">
      <c r="A24">
        <v>2022</v>
      </c>
      <c r="B24">
        <v>11</v>
      </c>
      <c r="C24">
        <v>11</v>
      </c>
      <c r="D24">
        <v>47169</v>
      </c>
    </row>
    <row r="25" spans="1:4" x14ac:dyDescent="0.25">
      <c r="A25">
        <v>2022</v>
      </c>
      <c r="B25">
        <v>12</v>
      </c>
      <c r="C25">
        <v>7</v>
      </c>
      <c r="D25">
        <v>39909</v>
      </c>
    </row>
    <row r="26" spans="1:4" x14ac:dyDescent="0.25">
      <c r="A26">
        <v>2023</v>
      </c>
      <c r="B26">
        <v>1</v>
      </c>
      <c r="C26">
        <v>13</v>
      </c>
      <c r="D26">
        <v>78870</v>
      </c>
    </row>
    <row r="27" spans="1:4" x14ac:dyDescent="0.25">
      <c r="A27">
        <v>2023</v>
      </c>
      <c r="B27">
        <v>2</v>
      </c>
      <c r="C27">
        <v>6</v>
      </c>
      <c r="D27">
        <v>38352</v>
      </c>
    </row>
    <row r="28" spans="1:4" x14ac:dyDescent="0.25">
      <c r="A28">
        <v>2023</v>
      </c>
      <c r="B28">
        <v>3</v>
      </c>
      <c r="C28">
        <v>8</v>
      </c>
      <c r="D28">
        <v>30554</v>
      </c>
    </row>
    <row r="29" spans="1:4" x14ac:dyDescent="0.25">
      <c r="A29">
        <v>2023</v>
      </c>
      <c r="B29">
        <v>4</v>
      </c>
      <c r="C29">
        <v>9</v>
      </c>
      <c r="D29">
        <v>47476</v>
      </c>
    </row>
    <row r="30" spans="1:4" x14ac:dyDescent="0.25">
      <c r="A30">
        <v>2023</v>
      </c>
      <c r="B30">
        <v>5</v>
      </c>
      <c r="C30">
        <v>11</v>
      </c>
      <c r="D30">
        <v>51728</v>
      </c>
    </row>
    <row r="31" spans="1:4" x14ac:dyDescent="0.25">
      <c r="A31">
        <v>2023</v>
      </c>
      <c r="B31">
        <v>6</v>
      </c>
      <c r="C31">
        <v>10</v>
      </c>
      <c r="D31">
        <v>52893</v>
      </c>
    </row>
    <row r="32" spans="1:4" x14ac:dyDescent="0.25">
      <c r="A32">
        <v>2023</v>
      </c>
      <c r="B32">
        <v>7</v>
      </c>
      <c r="C32">
        <v>13</v>
      </c>
      <c r="D32">
        <v>96687</v>
      </c>
    </row>
    <row r="33" spans="1:4" x14ac:dyDescent="0.25">
      <c r="A33">
        <v>2023</v>
      </c>
      <c r="B33">
        <v>8</v>
      </c>
      <c r="C33">
        <v>8</v>
      </c>
      <c r="D33">
        <v>32360</v>
      </c>
    </row>
    <row r="34" spans="1:4" x14ac:dyDescent="0.25">
      <c r="A34">
        <v>2023</v>
      </c>
      <c r="B34">
        <v>9</v>
      </c>
      <c r="C34">
        <v>6</v>
      </c>
      <c r="D34">
        <v>27396</v>
      </c>
    </row>
    <row r="35" spans="1:4" x14ac:dyDescent="0.25">
      <c r="A35">
        <v>2023</v>
      </c>
      <c r="B35">
        <v>10</v>
      </c>
      <c r="C35">
        <v>9</v>
      </c>
      <c r="D35">
        <v>61163</v>
      </c>
    </row>
    <row r="36" spans="1:4" x14ac:dyDescent="0.25">
      <c r="A36">
        <v>2023</v>
      </c>
      <c r="B36">
        <v>11</v>
      </c>
      <c r="C36">
        <v>5</v>
      </c>
      <c r="D36">
        <v>27026</v>
      </c>
    </row>
    <row r="37" spans="1:4" x14ac:dyDescent="0.25">
      <c r="A37">
        <v>2023</v>
      </c>
      <c r="B37">
        <v>12</v>
      </c>
      <c r="C37">
        <v>8</v>
      </c>
      <c r="D37">
        <v>62747</v>
      </c>
    </row>
    <row r="38" spans="1:4" x14ac:dyDescent="0.25">
      <c r="A38">
        <v>2024</v>
      </c>
      <c r="B38">
        <v>1</v>
      </c>
      <c r="C38">
        <v>6</v>
      </c>
      <c r="D38">
        <v>56650</v>
      </c>
    </row>
    <row r="39" spans="1:4" x14ac:dyDescent="0.25">
      <c r="A39">
        <v>2024</v>
      </c>
      <c r="B39">
        <v>2</v>
      </c>
      <c r="C39">
        <v>11</v>
      </c>
      <c r="D39">
        <v>48154</v>
      </c>
    </row>
    <row r="40" spans="1:4" x14ac:dyDescent="0.25">
      <c r="A40">
        <v>2024</v>
      </c>
      <c r="B40">
        <v>3</v>
      </c>
      <c r="C40">
        <v>11</v>
      </c>
      <c r="D40">
        <v>56258</v>
      </c>
    </row>
    <row r="41" spans="1:4" x14ac:dyDescent="0.25">
      <c r="A41">
        <v>2024</v>
      </c>
      <c r="B41">
        <v>4</v>
      </c>
      <c r="C41">
        <v>13</v>
      </c>
      <c r="D41">
        <v>76604</v>
      </c>
    </row>
    <row r="42" spans="1:4" x14ac:dyDescent="0.25">
      <c r="A42">
        <v>2024</v>
      </c>
      <c r="B42">
        <v>5</v>
      </c>
      <c r="C42">
        <v>10</v>
      </c>
      <c r="D42">
        <v>48775</v>
      </c>
    </row>
    <row r="43" spans="1:4" x14ac:dyDescent="0.25">
      <c r="A43">
        <v>2024</v>
      </c>
      <c r="B43">
        <v>6</v>
      </c>
      <c r="C43">
        <v>7</v>
      </c>
      <c r="D43">
        <v>36829</v>
      </c>
    </row>
    <row r="44" spans="1:4" x14ac:dyDescent="0.25">
      <c r="A44">
        <v>2024</v>
      </c>
      <c r="B44">
        <v>7</v>
      </c>
      <c r="C44">
        <v>10</v>
      </c>
      <c r="D44">
        <v>61949</v>
      </c>
    </row>
    <row r="45" spans="1:4" x14ac:dyDescent="0.25">
      <c r="A45">
        <v>2024</v>
      </c>
      <c r="B45">
        <v>8</v>
      </c>
      <c r="C45">
        <v>12</v>
      </c>
      <c r="D45">
        <v>47865</v>
      </c>
    </row>
    <row r="46" spans="1:4" x14ac:dyDescent="0.25">
      <c r="A46">
        <v>2024</v>
      </c>
      <c r="B46">
        <v>9</v>
      </c>
      <c r="C46">
        <v>14</v>
      </c>
      <c r="D46">
        <v>94669</v>
      </c>
    </row>
    <row r="47" spans="1:4" x14ac:dyDescent="0.25">
      <c r="A47">
        <v>2024</v>
      </c>
      <c r="B47">
        <v>10</v>
      </c>
      <c r="C47">
        <v>16</v>
      </c>
      <c r="D47">
        <v>95932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3B3C-98D0-4BEE-B994-E8F207EFD008}">
  <sheetPr>
    <tabColor theme="5"/>
  </sheetPr>
  <dimension ref="A3:C16"/>
  <sheetViews>
    <sheetView workbookViewId="0">
      <selection activeCell="N11" sqref="N11"/>
    </sheetView>
  </sheetViews>
  <sheetFormatPr defaultRowHeight="15" x14ac:dyDescent="0.25"/>
  <cols>
    <col min="1" max="1" width="13.42578125" bestFit="1" customWidth="1"/>
    <col min="2" max="2" width="20.42578125" bestFit="1" customWidth="1"/>
    <col min="3" max="3" width="19.85546875" bestFit="1" customWidth="1"/>
  </cols>
  <sheetData>
    <row r="3" spans="1:3" x14ac:dyDescent="0.25">
      <c r="A3" s="1" t="s">
        <v>168</v>
      </c>
      <c r="B3" t="s">
        <v>166</v>
      </c>
      <c r="C3" t="s">
        <v>167</v>
      </c>
    </row>
    <row r="4" spans="1:3" x14ac:dyDescent="0.25">
      <c r="A4" s="2">
        <v>1</v>
      </c>
      <c r="B4">
        <v>208146</v>
      </c>
      <c r="C4">
        <v>4</v>
      </c>
    </row>
    <row r="5" spans="1:3" x14ac:dyDescent="0.25">
      <c r="A5" s="2">
        <v>2</v>
      </c>
      <c r="B5">
        <v>153540</v>
      </c>
      <c r="C5">
        <v>4</v>
      </c>
    </row>
    <row r="6" spans="1:3" x14ac:dyDescent="0.25">
      <c r="A6" s="2">
        <v>3</v>
      </c>
      <c r="B6">
        <v>218637</v>
      </c>
      <c r="C6">
        <v>4</v>
      </c>
    </row>
    <row r="7" spans="1:3" x14ac:dyDescent="0.25">
      <c r="A7" s="2">
        <v>4</v>
      </c>
      <c r="B7">
        <v>244763</v>
      </c>
      <c r="C7">
        <v>4</v>
      </c>
    </row>
    <row r="8" spans="1:3" x14ac:dyDescent="0.25">
      <c r="A8" s="2">
        <v>5</v>
      </c>
      <c r="B8">
        <v>230945</v>
      </c>
      <c r="C8">
        <v>4</v>
      </c>
    </row>
    <row r="9" spans="1:3" x14ac:dyDescent="0.25">
      <c r="A9" s="2">
        <v>6</v>
      </c>
      <c r="B9">
        <v>170664</v>
      </c>
      <c r="C9">
        <v>4</v>
      </c>
    </row>
    <row r="10" spans="1:3" x14ac:dyDescent="0.25">
      <c r="A10" s="2">
        <v>7</v>
      </c>
      <c r="B10">
        <v>285684</v>
      </c>
      <c r="C10">
        <v>4</v>
      </c>
    </row>
    <row r="11" spans="1:3" x14ac:dyDescent="0.25">
      <c r="A11" s="2">
        <v>8</v>
      </c>
      <c r="B11">
        <v>203071</v>
      </c>
      <c r="C11">
        <v>4</v>
      </c>
    </row>
    <row r="12" spans="1:3" x14ac:dyDescent="0.25">
      <c r="A12" s="2">
        <v>9</v>
      </c>
      <c r="B12">
        <v>231696</v>
      </c>
      <c r="C12">
        <v>4</v>
      </c>
    </row>
    <row r="13" spans="1:3" x14ac:dyDescent="0.25">
      <c r="A13" s="2">
        <v>10</v>
      </c>
      <c r="B13">
        <v>262477</v>
      </c>
      <c r="C13">
        <v>4</v>
      </c>
    </row>
    <row r="14" spans="1:3" x14ac:dyDescent="0.25">
      <c r="A14" s="2">
        <v>11</v>
      </c>
      <c r="B14">
        <v>105653</v>
      </c>
      <c r="C14">
        <v>3</v>
      </c>
    </row>
    <row r="15" spans="1:3" x14ac:dyDescent="0.25">
      <c r="A15" s="2">
        <v>12</v>
      </c>
      <c r="B15">
        <v>144968</v>
      </c>
      <c r="C15">
        <v>3</v>
      </c>
    </row>
    <row r="16" spans="1:3" x14ac:dyDescent="0.25">
      <c r="A16" s="2" t="s">
        <v>165</v>
      </c>
      <c r="B16">
        <v>2460244</v>
      </c>
      <c r="C16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197A-1AE8-4478-B935-20FA66DB1206}">
  <dimension ref="A1:D101"/>
  <sheetViews>
    <sheetView workbookViewId="0"/>
  </sheetViews>
  <sheetFormatPr defaultRowHeight="15" x14ac:dyDescent="0.25"/>
  <cols>
    <col min="1" max="1" width="16.5703125" bestFit="1" customWidth="1"/>
    <col min="2" max="2" width="15" bestFit="1" customWidth="1"/>
    <col min="3" max="3" width="14.7109375" bestFit="1" customWidth="1"/>
    <col min="4" max="4" width="10.855468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>
        <v>17725</v>
      </c>
      <c r="C2">
        <v>15480</v>
      </c>
      <c r="D2">
        <v>2245</v>
      </c>
    </row>
    <row r="3" spans="1:4" x14ac:dyDescent="0.25">
      <c r="A3" t="s">
        <v>10</v>
      </c>
      <c r="B3">
        <v>16793</v>
      </c>
      <c r="C3">
        <v>51660</v>
      </c>
      <c r="D3">
        <v>-34867</v>
      </c>
    </row>
    <row r="4" spans="1:4" x14ac:dyDescent="0.25">
      <c r="A4" t="s">
        <v>11</v>
      </c>
      <c r="B4">
        <v>35762</v>
      </c>
      <c r="C4">
        <v>12046</v>
      </c>
      <c r="D4">
        <v>23716</v>
      </c>
    </row>
    <row r="5" spans="1:4" x14ac:dyDescent="0.25">
      <c r="A5" t="s">
        <v>12</v>
      </c>
      <c r="B5">
        <v>66560</v>
      </c>
      <c r="C5">
        <v>46020</v>
      </c>
      <c r="D5">
        <v>20540</v>
      </c>
    </row>
    <row r="6" spans="1:4" x14ac:dyDescent="0.25">
      <c r="A6" t="s">
        <v>13</v>
      </c>
      <c r="B6">
        <v>31331</v>
      </c>
      <c r="C6">
        <v>36248</v>
      </c>
      <c r="D6">
        <v>-4917</v>
      </c>
    </row>
    <row r="7" spans="1:4" x14ac:dyDescent="0.25">
      <c r="A7" t="s">
        <v>14</v>
      </c>
      <c r="B7">
        <v>28076</v>
      </c>
      <c r="C7">
        <v>11222</v>
      </c>
      <c r="D7">
        <v>16854</v>
      </c>
    </row>
    <row r="8" spans="1:4" x14ac:dyDescent="0.25">
      <c r="A8" t="s">
        <v>15</v>
      </c>
      <c r="B8">
        <v>26214</v>
      </c>
      <c r="C8">
        <v>8010</v>
      </c>
      <c r="D8">
        <v>18204</v>
      </c>
    </row>
    <row r="9" spans="1:4" x14ac:dyDescent="0.25">
      <c r="A9" t="s">
        <v>16</v>
      </c>
      <c r="B9">
        <v>34838</v>
      </c>
      <c r="C9">
        <v>28616</v>
      </c>
      <c r="D9">
        <v>6222</v>
      </c>
    </row>
    <row r="10" spans="1:4" x14ac:dyDescent="0.25">
      <c r="A10" t="s">
        <v>17</v>
      </c>
      <c r="B10">
        <v>38062</v>
      </c>
      <c r="C10">
        <v>23712</v>
      </c>
      <c r="D10">
        <v>14350</v>
      </c>
    </row>
    <row r="11" spans="1:4" x14ac:dyDescent="0.25">
      <c r="A11" t="s">
        <v>18</v>
      </c>
      <c r="B11">
        <v>14089</v>
      </c>
      <c r="C11">
        <v>17112</v>
      </c>
      <c r="D11">
        <v>-3023</v>
      </c>
    </row>
    <row r="12" spans="1:4" x14ac:dyDescent="0.25">
      <c r="A12" t="s">
        <v>19</v>
      </c>
      <c r="B12">
        <v>44559</v>
      </c>
      <c r="C12">
        <v>23782</v>
      </c>
      <c r="D12">
        <v>20777</v>
      </c>
    </row>
    <row r="13" spans="1:4" x14ac:dyDescent="0.25">
      <c r="A13" t="s">
        <v>20</v>
      </c>
      <c r="B13">
        <v>24416</v>
      </c>
      <c r="C13">
        <v>22770</v>
      </c>
      <c r="D13">
        <v>1646</v>
      </c>
    </row>
    <row r="14" spans="1:4" x14ac:dyDescent="0.25">
      <c r="A14" t="s">
        <v>21</v>
      </c>
      <c r="B14">
        <v>14718</v>
      </c>
      <c r="C14">
        <v>2997</v>
      </c>
      <c r="D14">
        <v>11721</v>
      </c>
    </row>
    <row r="15" spans="1:4" x14ac:dyDescent="0.25">
      <c r="A15" t="s">
        <v>22</v>
      </c>
      <c r="B15">
        <v>12880</v>
      </c>
      <c r="C15">
        <v>35585</v>
      </c>
      <c r="D15">
        <v>-22705</v>
      </c>
    </row>
    <row r="16" spans="1:4" x14ac:dyDescent="0.25">
      <c r="A16" t="s">
        <v>23</v>
      </c>
      <c r="B16">
        <v>72624</v>
      </c>
      <c r="C16">
        <v>13175</v>
      </c>
      <c r="D16">
        <v>59449</v>
      </c>
    </row>
    <row r="17" spans="1:4" x14ac:dyDescent="0.25">
      <c r="A17" t="s">
        <v>24</v>
      </c>
      <c r="B17">
        <v>68069</v>
      </c>
      <c r="C17">
        <v>27473</v>
      </c>
      <c r="D17">
        <v>40596</v>
      </c>
    </row>
    <row r="18" spans="1:4" x14ac:dyDescent="0.25">
      <c r="A18" t="s">
        <v>25</v>
      </c>
      <c r="B18">
        <v>16839</v>
      </c>
      <c r="C18">
        <v>27094</v>
      </c>
      <c r="D18">
        <v>-10255</v>
      </c>
    </row>
    <row r="19" spans="1:4" x14ac:dyDescent="0.25">
      <c r="A19" t="s">
        <v>26</v>
      </c>
      <c r="B19">
        <v>18344</v>
      </c>
      <c r="C19">
        <v>12500</v>
      </c>
      <c r="D19">
        <v>5844</v>
      </c>
    </row>
    <row r="20" spans="1:4" x14ac:dyDescent="0.25">
      <c r="A20" t="s">
        <v>27</v>
      </c>
      <c r="B20">
        <v>16865</v>
      </c>
      <c r="C20">
        <v>14516</v>
      </c>
      <c r="D20">
        <v>2349</v>
      </c>
    </row>
    <row r="21" spans="1:4" x14ac:dyDescent="0.25">
      <c r="A21" t="s">
        <v>28</v>
      </c>
      <c r="B21">
        <v>4950</v>
      </c>
      <c r="C21">
        <v>30940</v>
      </c>
      <c r="D21">
        <v>-25990</v>
      </c>
    </row>
    <row r="22" spans="1:4" x14ac:dyDescent="0.25">
      <c r="A22" t="s">
        <v>29</v>
      </c>
      <c r="B22">
        <v>25724</v>
      </c>
      <c r="C22">
        <v>2444</v>
      </c>
      <c r="D22">
        <v>23280</v>
      </c>
    </row>
    <row r="23" spans="1:4" x14ac:dyDescent="0.25">
      <c r="A23" t="s">
        <v>30</v>
      </c>
      <c r="B23">
        <v>14513</v>
      </c>
      <c r="C23">
        <v>43065</v>
      </c>
      <c r="D23">
        <v>-28552</v>
      </c>
    </row>
    <row r="24" spans="1:4" x14ac:dyDescent="0.25">
      <c r="A24" t="s">
        <v>31</v>
      </c>
      <c r="B24">
        <v>24742</v>
      </c>
      <c r="C24">
        <v>9516</v>
      </c>
      <c r="D24">
        <v>15226</v>
      </c>
    </row>
    <row r="25" spans="1:4" x14ac:dyDescent="0.25">
      <c r="A25" t="s">
        <v>32</v>
      </c>
      <c r="B25">
        <v>4189</v>
      </c>
      <c r="C25">
        <v>10350</v>
      </c>
      <c r="D25">
        <v>-6161</v>
      </c>
    </row>
    <row r="26" spans="1:4" x14ac:dyDescent="0.25">
      <c r="A26" t="s">
        <v>33</v>
      </c>
      <c r="B26">
        <v>16373</v>
      </c>
      <c r="C26">
        <v>9164</v>
      </c>
      <c r="D26">
        <v>7209</v>
      </c>
    </row>
    <row r="27" spans="1:4" x14ac:dyDescent="0.25">
      <c r="A27" t="s">
        <v>34</v>
      </c>
      <c r="B27">
        <v>1091</v>
      </c>
      <c r="C27">
        <v>11700</v>
      </c>
      <c r="D27">
        <v>-10609</v>
      </c>
    </row>
    <row r="28" spans="1:4" x14ac:dyDescent="0.25">
      <c r="A28" t="s">
        <v>35</v>
      </c>
      <c r="B28">
        <v>15754</v>
      </c>
      <c r="C28">
        <v>13818</v>
      </c>
      <c r="D28">
        <v>1936</v>
      </c>
    </row>
    <row r="29" spans="1:4" x14ac:dyDescent="0.25">
      <c r="A29" t="s">
        <v>36</v>
      </c>
      <c r="B29">
        <v>28419</v>
      </c>
      <c r="C29">
        <v>20502</v>
      </c>
      <c r="D29">
        <v>7917</v>
      </c>
    </row>
    <row r="30" spans="1:4" x14ac:dyDescent="0.25">
      <c r="A30" t="s">
        <v>37</v>
      </c>
      <c r="B30">
        <v>3596</v>
      </c>
      <c r="C30">
        <v>2948</v>
      </c>
      <c r="D30">
        <v>648</v>
      </c>
    </row>
    <row r="31" spans="1:4" x14ac:dyDescent="0.25">
      <c r="A31" t="s">
        <v>38</v>
      </c>
      <c r="B31">
        <v>8600</v>
      </c>
      <c r="C31">
        <v>32688</v>
      </c>
      <c r="D31">
        <v>-24088</v>
      </c>
    </row>
    <row r="32" spans="1:4" x14ac:dyDescent="0.25">
      <c r="A32" t="s">
        <v>39</v>
      </c>
      <c r="B32">
        <v>22657</v>
      </c>
      <c r="C32">
        <v>7781</v>
      </c>
      <c r="D32">
        <v>14876</v>
      </c>
    </row>
    <row r="33" spans="1:4" x14ac:dyDescent="0.25">
      <c r="A33" t="s">
        <v>40</v>
      </c>
      <c r="B33">
        <v>9991</v>
      </c>
      <c r="C33">
        <v>25462</v>
      </c>
      <c r="D33">
        <v>-15471</v>
      </c>
    </row>
    <row r="34" spans="1:4" x14ac:dyDescent="0.25">
      <c r="A34" t="s">
        <v>41</v>
      </c>
      <c r="B34">
        <v>17190</v>
      </c>
      <c r="C34">
        <v>5670</v>
      </c>
      <c r="D34">
        <v>11520</v>
      </c>
    </row>
    <row r="35" spans="1:4" x14ac:dyDescent="0.25">
      <c r="A35" t="s">
        <v>42</v>
      </c>
      <c r="B35">
        <v>6600</v>
      </c>
      <c r="C35">
        <v>1134</v>
      </c>
      <c r="D35">
        <v>5466</v>
      </c>
    </row>
    <row r="36" spans="1:4" x14ac:dyDescent="0.25">
      <c r="A36" t="s">
        <v>43</v>
      </c>
      <c r="B36">
        <v>24444</v>
      </c>
      <c r="C36">
        <v>2565</v>
      </c>
      <c r="D36">
        <v>21879</v>
      </c>
    </row>
    <row r="37" spans="1:4" x14ac:dyDescent="0.25">
      <c r="A37" t="s">
        <v>44</v>
      </c>
      <c r="B37">
        <v>47369</v>
      </c>
      <c r="C37">
        <v>50778</v>
      </c>
      <c r="D37">
        <v>-3409</v>
      </c>
    </row>
    <row r="38" spans="1:4" x14ac:dyDescent="0.25">
      <c r="A38" t="s">
        <v>45</v>
      </c>
      <c r="B38">
        <v>56355</v>
      </c>
      <c r="C38">
        <v>20769</v>
      </c>
      <c r="D38">
        <v>35586</v>
      </c>
    </row>
    <row r="39" spans="1:4" x14ac:dyDescent="0.25">
      <c r="A39" t="s">
        <v>46</v>
      </c>
      <c r="B39">
        <v>14434</v>
      </c>
      <c r="C39">
        <v>1044</v>
      </c>
      <c r="D39">
        <v>13390</v>
      </c>
    </row>
    <row r="40" spans="1:4" x14ac:dyDescent="0.25">
      <c r="A40" t="s">
        <v>47</v>
      </c>
      <c r="B40">
        <v>16579</v>
      </c>
      <c r="C40">
        <v>10290</v>
      </c>
      <c r="D40">
        <v>6289</v>
      </c>
    </row>
    <row r="41" spans="1:4" x14ac:dyDescent="0.25">
      <c r="A41" t="s">
        <v>48</v>
      </c>
      <c r="B41">
        <v>15992</v>
      </c>
      <c r="C41">
        <v>10480</v>
      </c>
      <c r="D41">
        <v>5512</v>
      </c>
    </row>
    <row r="42" spans="1:4" x14ac:dyDescent="0.25">
      <c r="A42" t="s">
        <v>49</v>
      </c>
      <c r="B42">
        <v>42594</v>
      </c>
      <c r="C42">
        <v>25740</v>
      </c>
      <c r="D42">
        <v>16854</v>
      </c>
    </row>
    <row r="43" spans="1:4" x14ac:dyDescent="0.25">
      <c r="A43" t="s">
        <v>50</v>
      </c>
      <c r="B43">
        <v>30390</v>
      </c>
      <c r="C43">
        <v>1944</v>
      </c>
      <c r="D43">
        <v>28446</v>
      </c>
    </row>
    <row r="44" spans="1:4" x14ac:dyDescent="0.25">
      <c r="A44" t="s">
        <v>51</v>
      </c>
      <c r="B44">
        <v>2154</v>
      </c>
      <c r="C44">
        <v>3100</v>
      </c>
      <c r="D44">
        <v>-946</v>
      </c>
    </row>
    <row r="45" spans="1:4" x14ac:dyDescent="0.25">
      <c r="A45" t="s">
        <v>52</v>
      </c>
      <c r="B45">
        <v>34154</v>
      </c>
      <c r="C45">
        <v>14577</v>
      </c>
      <c r="D45">
        <v>19577</v>
      </c>
    </row>
    <row r="46" spans="1:4" x14ac:dyDescent="0.25">
      <c r="A46" t="s">
        <v>53</v>
      </c>
      <c r="B46">
        <v>9880</v>
      </c>
      <c r="C46">
        <v>34200</v>
      </c>
      <c r="D46">
        <v>-24320</v>
      </c>
    </row>
    <row r="47" spans="1:4" x14ac:dyDescent="0.25">
      <c r="A47" t="s">
        <v>54</v>
      </c>
      <c r="B47">
        <v>15939</v>
      </c>
      <c r="C47">
        <v>28006</v>
      </c>
      <c r="D47">
        <v>-12067</v>
      </c>
    </row>
    <row r="48" spans="1:4" x14ac:dyDescent="0.25">
      <c r="A48" t="s">
        <v>55</v>
      </c>
      <c r="B48">
        <v>2942</v>
      </c>
      <c r="C48">
        <v>6864</v>
      </c>
      <c r="D48">
        <v>-3922</v>
      </c>
    </row>
    <row r="49" spans="1:4" x14ac:dyDescent="0.25">
      <c r="A49" t="s">
        <v>56</v>
      </c>
      <c r="B49">
        <v>26028</v>
      </c>
      <c r="C49">
        <v>20790</v>
      </c>
      <c r="D49">
        <v>5238</v>
      </c>
    </row>
    <row r="50" spans="1:4" x14ac:dyDescent="0.25">
      <c r="A50" t="s">
        <v>57</v>
      </c>
      <c r="B50">
        <v>13457</v>
      </c>
      <c r="C50">
        <v>6943</v>
      </c>
      <c r="D50">
        <v>6514</v>
      </c>
    </row>
    <row r="51" spans="1:4" x14ac:dyDescent="0.25">
      <c r="A51" t="s">
        <v>58</v>
      </c>
      <c r="B51">
        <v>5740</v>
      </c>
      <c r="C51">
        <v>30732</v>
      </c>
      <c r="D51">
        <v>-24992</v>
      </c>
    </row>
    <row r="52" spans="1:4" x14ac:dyDescent="0.25">
      <c r="A52" t="s">
        <v>59</v>
      </c>
      <c r="B52">
        <v>15070</v>
      </c>
      <c r="C52">
        <v>5814</v>
      </c>
      <c r="D52">
        <v>9256</v>
      </c>
    </row>
    <row r="53" spans="1:4" x14ac:dyDescent="0.25">
      <c r="A53" t="s">
        <v>60</v>
      </c>
      <c r="B53">
        <v>26071</v>
      </c>
      <c r="C53">
        <v>24800</v>
      </c>
      <c r="D53">
        <v>1271</v>
      </c>
    </row>
    <row r="54" spans="1:4" x14ac:dyDescent="0.25">
      <c r="A54" t="s">
        <v>61</v>
      </c>
      <c r="B54">
        <v>2147</v>
      </c>
      <c r="C54">
        <v>9102</v>
      </c>
      <c r="D54">
        <v>-6955</v>
      </c>
    </row>
    <row r="55" spans="1:4" x14ac:dyDescent="0.25">
      <c r="A55" t="s">
        <v>62</v>
      </c>
      <c r="B55">
        <v>41222</v>
      </c>
      <c r="C55">
        <v>864</v>
      </c>
      <c r="D55">
        <v>40358</v>
      </c>
    </row>
    <row r="56" spans="1:4" x14ac:dyDescent="0.25">
      <c r="A56" t="s">
        <v>63</v>
      </c>
      <c r="B56">
        <v>33682</v>
      </c>
      <c r="C56">
        <v>27450</v>
      </c>
      <c r="D56">
        <v>6232</v>
      </c>
    </row>
    <row r="57" spans="1:4" x14ac:dyDescent="0.25">
      <c r="A57" t="s">
        <v>64</v>
      </c>
      <c r="B57">
        <v>28675</v>
      </c>
      <c r="C57">
        <v>20010</v>
      </c>
      <c r="D57">
        <v>8665</v>
      </c>
    </row>
    <row r="58" spans="1:4" x14ac:dyDescent="0.25">
      <c r="A58" t="s">
        <v>65</v>
      </c>
      <c r="B58">
        <v>44868</v>
      </c>
      <c r="C58">
        <v>275</v>
      </c>
      <c r="D58">
        <v>44593</v>
      </c>
    </row>
    <row r="59" spans="1:4" x14ac:dyDescent="0.25">
      <c r="A59" t="s">
        <v>66</v>
      </c>
      <c r="B59">
        <v>14159</v>
      </c>
      <c r="C59">
        <v>2200</v>
      </c>
      <c r="D59">
        <v>11959</v>
      </c>
    </row>
    <row r="60" spans="1:4" x14ac:dyDescent="0.25">
      <c r="A60" t="s">
        <v>67</v>
      </c>
      <c r="B60">
        <v>24004</v>
      </c>
      <c r="C60">
        <v>15390</v>
      </c>
      <c r="D60">
        <v>8614</v>
      </c>
    </row>
    <row r="61" spans="1:4" x14ac:dyDescent="0.25">
      <c r="A61" t="s">
        <v>68</v>
      </c>
      <c r="B61">
        <v>29792</v>
      </c>
      <c r="C61">
        <v>52020</v>
      </c>
      <c r="D61">
        <v>-22228</v>
      </c>
    </row>
    <row r="62" spans="1:4" x14ac:dyDescent="0.25">
      <c r="A62" t="s">
        <v>69</v>
      </c>
      <c r="B62">
        <v>45629</v>
      </c>
      <c r="C62">
        <v>29330</v>
      </c>
      <c r="D62">
        <v>16299</v>
      </c>
    </row>
    <row r="63" spans="1:4" x14ac:dyDescent="0.25">
      <c r="A63" t="s">
        <v>70</v>
      </c>
      <c r="B63">
        <v>8290</v>
      </c>
      <c r="C63">
        <v>13175</v>
      </c>
      <c r="D63">
        <v>-4885</v>
      </c>
    </row>
    <row r="64" spans="1:4" x14ac:dyDescent="0.25">
      <c r="A64" t="s">
        <v>71</v>
      </c>
      <c r="B64">
        <v>42322</v>
      </c>
      <c r="C64">
        <v>28176</v>
      </c>
      <c r="D64">
        <v>14146</v>
      </c>
    </row>
    <row r="65" spans="1:4" x14ac:dyDescent="0.25">
      <c r="A65" t="s">
        <v>72</v>
      </c>
      <c r="B65">
        <v>35110</v>
      </c>
      <c r="C65">
        <v>3348</v>
      </c>
      <c r="D65">
        <v>31762</v>
      </c>
    </row>
    <row r="66" spans="1:4" x14ac:dyDescent="0.25">
      <c r="A66" t="s">
        <v>73</v>
      </c>
      <c r="B66">
        <v>17561</v>
      </c>
      <c r="C66">
        <v>25942</v>
      </c>
      <c r="D66">
        <v>-8381</v>
      </c>
    </row>
    <row r="67" spans="1:4" x14ac:dyDescent="0.25">
      <c r="A67" t="s">
        <v>74</v>
      </c>
      <c r="B67">
        <v>53662</v>
      </c>
      <c r="C67">
        <v>35255</v>
      </c>
      <c r="D67">
        <v>18407</v>
      </c>
    </row>
    <row r="68" spans="1:4" x14ac:dyDescent="0.25">
      <c r="A68" t="s">
        <v>75</v>
      </c>
      <c r="B68">
        <v>17454</v>
      </c>
      <c r="C68">
        <v>25816</v>
      </c>
      <c r="D68">
        <v>-8362</v>
      </c>
    </row>
    <row r="69" spans="1:4" x14ac:dyDescent="0.25">
      <c r="A69" t="s">
        <v>76</v>
      </c>
      <c r="B69">
        <v>23775</v>
      </c>
      <c r="C69">
        <v>20976</v>
      </c>
      <c r="D69">
        <v>2799</v>
      </c>
    </row>
    <row r="70" spans="1:4" x14ac:dyDescent="0.25">
      <c r="A70" t="s">
        <v>77</v>
      </c>
      <c r="B70">
        <v>18715</v>
      </c>
      <c r="C70">
        <v>17505</v>
      </c>
      <c r="D70">
        <v>1210</v>
      </c>
    </row>
    <row r="71" spans="1:4" x14ac:dyDescent="0.25">
      <c r="A71" t="s">
        <v>78</v>
      </c>
      <c r="B71">
        <v>28255</v>
      </c>
      <c r="C71">
        <v>22504</v>
      </c>
      <c r="D71">
        <v>5751</v>
      </c>
    </row>
    <row r="72" spans="1:4" x14ac:dyDescent="0.25">
      <c r="A72" t="s">
        <v>79</v>
      </c>
      <c r="B72">
        <v>31215</v>
      </c>
      <c r="C72">
        <v>69480</v>
      </c>
      <c r="D72">
        <v>-38265</v>
      </c>
    </row>
    <row r="73" spans="1:4" x14ac:dyDescent="0.25">
      <c r="A73" t="s">
        <v>80</v>
      </c>
      <c r="B73">
        <v>33997</v>
      </c>
      <c r="C73">
        <v>3717</v>
      </c>
      <c r="D73">
        <v>30280</v>
      </c>
    </row>
    <row r="74" spans="1:4" x14ac:dyDescent="0.25">
      <c r="A74" t="s">
        <v>81</v>
      </c>
      <c r="B74">
        <v>1367</v>
      </c>
      <c r="C74">
        <v>6090</v>
      </c>
      <c r="D74">
        <v>-4723</v>
      </c>
    </row>
    <row r="75" spans="1:4" x14ac:dyDescent="0.25">
      <c r="A75" t="s">
        <v>82</v>
      </c>
      <c r="B75">
        <v>47588</v>
      </c>
      <c r="C75">
        <v>14514</v>
      </c>
      <c r="D75">
        <v>33074</v>
      </c>
    </row>
    <row r="76" spans="1:4" x14ac:dyDescent="0.25">
      <c r="A76" t="s">
        <v>83</v>
      </c>
      <c r="B76">
        <v>8356</v>
      </c>
      <c r="C76">
        <v>22237</v>
      </c>
      <c r="D76">
        <v>-13881</v>
      </c>
    </row>
    <row r="77" spans="1:4" x14ac:dyDescent="0.25">
      <c r="A77" t="s">
        <v>84</v>
      </c>
      <c r="B77">
        <v>21576</v>
      </c>
      <c r="C77">
        <v>22154</v>
      </c>
      <c r="D77">
        <v>-578</v>
      </c>
    </row>
    <row r="78" spans="1:4" x14ac:dyDescent="0.25">
      <c r="A78" t="s">
        <v>85</v>
      </c>
      <c r="B78">
        <v>37199</v>
      </c>
      <c r="C78">
        <v>47260</v>
      </c>
      <c r="D78">
        <v>-10061</v>
      </c>
    </row>
    <row r="79" spans="1:4" x14ac:dyDescent="0.25">
      <c r="A79" t="s">
        <v>86</v>
      </c>
      <c r="B79">
        <v>4233</v>
      </c>
      <c r="C79">
        <v>2200</v>
      </c>
      <c r="D79">
        <v>2033</v>
      </c>
    </row>
    <row r="80" spans="1:4" x14ac:dyDescent="0.25">
      <c r="A80" t="s">
        <v>87</v>
      </c>
      <c r="B80">
        <v>17180</v>
      </c>
      <c r="C80">
        <v>38220</v>
      </c>
      <c r="D80">
        <v>-21040</v>
      </c>
    </row>
    <row r="81" spans="1:4" x14ac:dyDescent="0.25">
      <c r="A81" t="s">
        <v>88</v>
      </c>
      <c r="B81">
        <v>2857</v>
      </c>
      <c r="C81">
        <v>25920</v>
      </c>
      <c r="D81">
        <v>-23063</v>
      </c>
    </row>
    <row r="82" spans="1:4" x14ac:dyDescent="0.25">
      <c r="A82" t="s">
        <v>89</v>
      </c>
      <c r="B82">
        <v>45534</v>
      </c>
      <c r="C82">
        <v>43456</v>
      </c>
      <c r="D82">
        <v>2078</v>
      </c>
    </row>
    <row r="83" spans="1:4" x14ac:dyDescent="0.25">
      <c r="A83" t="s">
        <v>90</v>
      </c>
      <c r="B83">
        <v>41888</v>
      </c>
      <c r="C83">
        <v>2967</v>
      </c>
      <c r="D83">
        <v>38921</v>
      </c>
    </row>
    <row r="84" spans="1:4" x14ac:dyDescent="0.25">
      <c r="A84" t="s">
        <v>91</v>
      </c>
      <c r="B84">
        <v>52675</v>
      </c>
      <c r="C84">
        <v>12090</v>
      </c>
      <c r="D84">
        <v>40585</v>
      </c>
    </row>
    <row r="85" spans="1:4" x14ac:dyDescent="0.25">
      <c r="A85" t="s">
        <v>92</v>
      </c>
      <c r="B85">
        <v>33948</v>
      </c>
      <c r="C85">
        <v>28971</v>
      </c>
      <c r="D85">
        <v>4977</v>
      </c>
    </row>
    <row r="86" spans="1:4" x14ac:dyDescent="0.25">
      <c r="A86" t="s">
        <v>93</v>
      </c>
      <c r="B86">
        <v>4699</v>
      </c>
      <c r="C86">
        <v>3276</v>
      </c>
      <c r="D86">
        <v>1423</v>
      </c>
    </row>
    <row r="87" spans="1:4" x14ac:dyDescent="0.25">
      <c r="A87" t="s">
        <v>94</v>
      </c>
      <c r="B87">
        <v>4451</v>
      </c>
      <c r="C87">
        <v>10225</v>
      </c>
      <c r="D87">
        <v>-5774</v>
      </c>
    </row>
    <row r="88" spans="1:4" x14ac:dyDescent="0.25">
      <c r="A88" t="s">
        <v>95</v>
      </c>
      <c r="B88">
        <v>24647</v>
      </c>
      <c r="C88">
        <v>19890</v>
      </c>
      <c r="D88">
        <v>4757</v>
      </c>
    </row>
    <row r="89" spans="1:4" x14ac:dyDescent="0.25">
      <c r="A89" t="s">
        <v>96</v>
      </c>
      <c r="B89">
        <v>60448</v>
      </c>
      <c r="C89">
        <v>12529</v>
      </c>
      <c r="D89">
        <v>47919</v>
      </c>
    </row>
    <row r="90" spans="1:4" x14ac:dyDescent="0.25">
      <c r="A90" t="s">
        <v>97</v>
      </c>
      <c r="B90">
        <v>33230</v>
      </c>
      <c r="C90">
        <v>1848</v>
      </c>
      <c r="D90">
        <v>31382</v>
      </c>
    </row>
    <row r="91" spans="1:4" x14ac:dyDescent="0.25">
      <c r="A91" t="s">
        <v>98</v>
      </c>
      <c r="B91">
        <v>1675</v>
      </c>
      <c r="C91">
        <v>12558</v>
      </c>
      <c r="D91">
        <v>-10883</v>
      </c>
    </row>
    <row r="92" spans="1:4" x14ac:dyDescent="0.25">
      <c r="A92" t="s">
        <v>99</v>
      </c>
      <c r="B92">
        <v>34081</v>
      </c>
      <c r="C92">
        <v>28566</v>
      </c>
      <c r="D92">
        <v>5515</v>
      </c>
    </row>
    <row r="93" spans="1:4" x14ac:dyDescent="0.25">
      <c r="A93" t="s">
        <v>100</v>
      </c>
      <c r="B93">
        <v>6060</v>
      </c>
      <c r="C93">
        <v>27429</v>
      </c>
      <c r="D93">
        <v>-21369</v>
      </c>
    </row>
    <row r="94" spans="1:4" x14ac:dyDescent="0.25">
      <c r="A94" t="s">
        <v>101</v>
      </c>
      <c r="B94">
        <v>1837</v>
      </c>
      <c r="C94">
        <v>11134</v>
      </c>
      <c r="D94">
        <v>-9297</v>
      </c>
    </row>
    <row r="95" spans="1:4" x14ac:dyDescent="0.25">
      <c r="A95" t="s">
        <v>102</v>
      </c>
      <c r="B95">
        <v>65159</v>
      </c>
      <c r="C95">
        <v>37185</v>
      </c>
      <c r="D95">
        <v>27974</v>
      </c>
    </row>
    <row r="96" spans="1:4" x14ac:dyDescent="0.25">
      <c r="A96" t="s">
        <v>103</v>
      </c>
      <c r="B96">
        <v>28168</v>
      </c>
      <c r="C96">
        <v>10472</v>
      </c>
      <c r="D96">
        <v>17696</v>
      </c>
    </row>
    <row r="97" spans="1:4" x14ac:dyDescent="0.25">
      <c r="A97" t="s">
        <v>104</v>
      </c>
      <c r="B97">
        <v>12952</v>
      </c>
      <c r="C97">
        <v>3608</v>
      </c>
      <c r="D97">
        <v>9344</v>
      </c>
    </row>
    <row r="98" spans="1:4" x14ac:dyDescent="0.25">
      <c r="A98" t="s">
        <v>105</v>
      </c>
      <c r="B98">
        <v>26820</v>
      </c>
      <c r="C98">
        <v>14212</v>
      </c>
      <c r="D98">
        <v>12608</v>
      </c>
    </row>
    <row r="99" spans="1:4" x14ac:dyDescent="0.25">
      <c r="A99" t="s">
        <v>106</v>
      </c>
      <c r="B99">
        <v>40792</v>
      </c>
      <c r="C99">
        <v>8976</v>
      </c>
      <c r="D99">
        <v>31816</v>
      </c>
    </row>
    <row r="100" spans="1:4" x14ac:dyDescent="0.25">
      <c r="A100" t="s">
        <v>107</v>
      </c>
      <c r="B100">
        <v>10798</v>
      </c>
      <c r="C100">
        <v>25872</v>
      </c>
      <c r="D100">
        <v>-15074</v>
      </c>
    </row>
    <row r="101" spans="1:4" x14ac:dyDescent="0.25">
      <c r="A101" t="s">
        <v>108</v>
      </c>
      <c r="B101">
        <v>12747</v>
      </c>
      <c r="C101">
        <v>15392</v>
      </c>
      <c r="D101">
        <v>-2645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5174-51A6-4EA1-A9B7-361D77AB96A4}">
  <dimension ref="A1:B6"/>
  <sheetViews>
    <sheetView workbookViewId="0">
      <selection activeCell="M10" sqref="M10"/>
    </sheetView>
  </sheetViews>
  <sheetFormatPr defaultRowHeight="15" x14ac:dyDescent="0.25"/>
  <cols>
    <col min="1" max="1" width="16.5703125" bestFit="1" customWidth="1"/>
    <col min="2" max="2" width="14.5703125" bestFit="1" customWidth="1"/>
  </cols>
  <sheetData>
    <row r="1" spans="1:2" x14ac:dyDescent="0.25">
      <c r="A1" t="s">
        <v>5</v>
      </c>
      <c r="B1" t="s">
        <v>109</v>
      </c>
    </row>
    <row r="2" spans="1:2" x14ac:dyDescent="0.25">
      <c r="A2" t="s">
        <v>23</v>
      </c>
      <c r="B2">
        <v>72624</v>
      </c>
    </row>
    <row r="3" spans="1:2" x14ac:dyDescent="0.25">
      <c r="A3" t="s">
        <v>24</v>
      </c>
      <c r="B3">
        <v>68069</v>
      </c>
    </row>
    <row r="4" spans="1:2" x14ac:dyDescent="0.25">
      <c r="A4" t="s">
        <v>12</v>
      </c>
      <c r="B4">
        <v>66560</v>
      </c>
    </row>
    <row r="5" spans="1:2" x14ac:dyDescent="0.25">
      <c r="A5" t="s">
        <v>102</v>
      </c>
      <c r="B5">
        <v>65159</v>
      </c>
    </row>
    <row r="6" spans="1:2" x14ac:dyDescent="0.25">
      <c r="A6" t="s">
        <v>96</v>
      </c>
      <c r="B6">
        <v>60448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6942-B681-4142-9D85-467AEAFDB333}">
  <dimension ref="A1:B6"/>
  <sheetViews>
    <sheetView workbookViewId="0">
      <selection activeCell="P12" sqref="P12"/>
    </sheetView>
  </sheetViews>
  <sheetFormatPr defaultRowHeight="15" x14ac:dyDescent="0.25"/>
  <cols>
    <col min="1" max="1" width="12.85546875" bestFit="1" customWidth="1"/>
    <col min="2" max="2" width="19.5703125" bestFit="1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57743</v>
      </c>
    </row>
    <row r="3" spans="1:2" x14ac:dyDescent="0.25">
      <c r="A3" t="s">
        <v>113</v>
      </c>
      <c r="B3">
        <v>50589</v>
      </c>
    </row>
    <row r="4" spans="1:2" x14ac:dyDescent="0.25">
      <c r="A4" t="s">
        <v>114</v>
      </c>
      <c r="B4">
        <v>45006</v>
      </c>
    </row>
    <row r="5" spans="1:2" x14ac:dyDescent="0.25">
      <c r="A5" t="s">
        <v>115</v>
      </c>
      <c r="B5">
        <v>41134</v>
      </c>
    </row>
    <row r="6" spans="1:2" x14ac:dyDescent="0.25">
      <c r="A6" t="s">
        <v>116</v>
      </c>
      <c r="B6">
        <v>40865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C64F-BBCC-4996-B864-2B3AE401D25C}">
  <dimension ref="A1:C6"/>
  <sheetViews>
    <sheetView workbookViewId="0"/>
  </sheetViews>
  <sheetFormatPr defaultRowHeight="15" x14ac:dyDescent="0.25"/>
  <cols>
    <col min="1" max="1" width="9.28515625" bestFit="1" customWidth="1"/>
    <col min="2" max="2" width="13.5703125" bestFit="1" customWidth="1"/>
    <col min="3" max="3" width="15" bestFit="1" customWidth="1"/>
  </cols>
  <sheetData>
    <row r="1" spans="1:3" x14ac:dyDescent="0.25">
      <c r="A1" t="s">
        <v>117</v>
      </c>
      <c r="B1" t="s">
        <v>3</v>
      </c>
      <c r="C1" t="s">
        <v>118</v>
      </c>
    </row>
    <row r="2" spans="1:3" x14ac:dyDescent="0.25">
      <c r="A2" t="s">
        <v>119</v>
      </c>
      <c r="B2">
        <v>90</v>
      </c>
      <c r="C2">
        <v>530496</v>
      </c>
    </row>
    <row r="3" spans="1:3" x14ac:dyDescent="0.25">
      <c r="A3" t="s">
        <v>120</v>
      </c>
      <c r="B3">
        <v>92</v>
      </c>
      <c r="C3">
        <v>524430</v>
      </c>
    </row>
    <row r="4" spans="1:3" x14ac:dyDescent="0.25">
      <c r="A4" t="s">
        <v>121</v>
      </c>
      <c r="B4">
        <v>95</v>
      </c>
      <c r="C4">
        <v>494443</v>
      </c>
    </row>
    <row r="5" spans="1:3" x14ac:dyDescent="0.25">
      <c r="A5" t="s">
        <v>122</v>
      </c>
      <c r="B5">
        <v>81</v>
      </c>
      <c r="C5">
        <v>493871</v>
      </c>
    </row>
    <row r="6" spans="1:3" x14ac:dyDescent="0.25">
      <c r="A6" t="s">
        <v>123</v>
      </c>
      <c r="B6">
        <v>74</v>
      </c>
      <c r="C6">
        <v>417004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E04F-384B-4F19-880E-1F0B57CBF327}">
  <dimension ref="A1:D3"/>
  <sheetViews>
    <sheetView workbookViewId="0"/>
  </sheetViews>
  <sheetFormatPr defaultRowHeight="15" x14ac:dyDescent="0.25"/>
  <cols>
    <col min="1" max="1" width="18.85546875" bestFit="1" customWidth="1"/>
    <col min="2" max="2" width="22.42578125" bestFit="1" customWidth="1"/>
    <col min="3" max="3" width="23.28515625" bestFit="1" customWidth="1"/>
    <col min="4" max="4" width="20.7109375" bestFit="1" customWidth="1"/>
  </cols>
  <sheetData>
    <row r="1" spans="1:4" x14ac:dyDescent="0.25">
      <c r="A1" t="s">
        <v>124</v>
      </c>
      <c r="B1" t="s">
        <v>125</v>
      </c>
      <c r="C1" t="s">
        <v>126</v>
      </c>
      <c r="D1" t="s">
        <v>127</v>
      </c>
    </row>
    <row r="2" spans="1:4" x14ac:dyDescent="0.25">
      <c r="A2" t="s">
        <v>128</v>
      </c>
      <c r="B2">
        <v>12</v>
      </c>
      <c r="C2">
        <v>27250</v>
      </c>
      <c r="D2">
        <v>2270</v>
      </c>
    </row>
    <row r="3" spans="1:4" x14ac:dyDescent="0.25">
      <c r="A3" t="s">
        <v>129</v>
      </c>
      <c r="B3">
        <v>988</v>
      </c>
      <c r="C3">
        <v>2432994</v>
      </c>
      <c r="D3">
        <v>2462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7DA5-7CBC-41C7-8C41-9A122ACF9396}">
  <dimension ref="A1:C4"/>
  <sheetViews>
    <sheetView workbookViewId="0">
      <selection activeCell="M6" sqref="M6"/>
    </sheetView>
  </sheetViews>
  <sheetFormatPr defaultRowHeight="15" x14ac:dyDescent="0.25"/>
  <cols>
    <col min="1" max="1" width="17.85546875" bestFit="1" customWidth="1"/>
    <col min="2" max="2" width="13.5703125" bestFit="1" customWidth="1"/>
    <col min="3" max="3" width="15" bestFit="1" customWidth="1"/>
  </cols>
  <sheetData>
    <row r="1" spans="1:3" x14ac:dyDescent="0.25">
      <c r="A1" t="s">
        <v>130</v>
      </c>
      <c r="B1" t="s">
        <v>3</v>
      </c>
      <c r="C1" t="s">
        <v>118</v>
      </c>
    </row>
    <row r="2" spans="1:3" x14ac:dyDescent="0.25">
      <c r="A2" t="s">
        <v>131</v>
      </c>
      <c r="B2">
        <v>153</v>
      </c>
      <c r="C2">
        <v>870814</v>
      </c>
    </row>
    <row r="3" spans="1:3" x14ac:dyDescent="0.25">
      <c r="A3" t="s">
        <v>132</v>
      </c>
      <c r="B3">
        <v>146</v>
      </c>
      <c r="C3">
        <v>854695</v>
      </c>
    </row>
    <row r="4" spans="1:3" x14ac:dyDescent="0.25">
      <c r="A4" t="s">
        <v>133</v>
      </c>
      <c r="B4">
        <v>133</v>
      </c>
      <c r="C4">
        <v>734735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01FD-DC58-4CCE-B4F8-F1F64FF89880}">
  <dimension ref="A1:C4"/>
  <sheetViews>
    <sheetView workbookViewId="0"/>
  </sheetViews>
  <sheetFormatPr defaultRowHeight="15" x14ac:dyDescent="0.25"/>
  <cols>
    <col min="1" max="1" width="10.42578125" bestFit="1" customWidth="1"/>
    <col min="2" max="2" width="6.42578125" bestFit="1" customWidth="1"/>
    <col min="3" max="3" width="14.140625" bestFit="1" customWidth="1"/>
  </cols>
  <sheetData>
    <row r="1" spans="1:3" x14ac:dyDescent="0.25">
      <c r="A1" t="s">
        <v>134</v>
      </c>
      <c r="B1" t="s">
        <v>135</v>
      </c>
      <c r="C1" t="s">
        <v>136</v>
      </c>
    </row>
    <row r="2" spans="1:3" x14ac:dyDescent="0.25">
      <c r="A2" t="s">
        <v>137</v>
      </c>
      <c r="B2">
        <v>176</v>
      </c>
      <c r="C2">
        <v>35.200000000000003</v>
      </c>
    </row>
    <row r="3" spans="1:3" x14ac:dyDescent="0.25">
      <c r="A3" t="s">
        <v>138</v>
      </c>
      <c r="B3">
        <v>146</v>
      </c>
      <c r="C3">
        <v>29.2</v>
      </c>
    </row>
    <row r="4" spans="1:3" x14ac:dyDescent="0.25">
      <c r="A4" t="s">
        <v>139</v>
      </c>
      <c r="B4">
        <v>178</v>
      </c>
      <c r="C4">
        <v>35.6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D21D-E48D-4D0C-822A-F54D78A4F2BD}">
  <dimension ref="A1:B2"/>
  <sheetViews>
    <sheetView workbookViewId="0">
      <selection activeCell="M18" sqref="M18"/>
    </sheetView>
  </sheetViews>
  <sheetFormatPr defaultRowHeight="15" x14ac:dyDescent="0.25"/>
  <cols>
    <col min="1" max="1" width="18" bestFit="1" customWidth="1"/>
  </cols>
  <sheetData>
    <row r="1" spans="1:2" x14ac:dyDescent="0.25">
      <c r="A1" t="s">
        <v>140</v>
      </c>
      <c r="B1" t="s">
        <v>169</v>
      </c>
    </row>
    <row r="2" spans="1:2" x14ac:dyDescent="0.25">
      <c r="A2" s="3">
        <v>0.19500000000000001</v>
      </c>
      <c r="B2" s="3" cm="1">
        <f t="array" ref="B2">1-_10[Qaytarilma_Faizi]</f>
        <v>0.80499999999999994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80A1-5722-44BE-BB2A-917F7662DF73}">
  <dimension ref="A1:C2"/>
  <sheetViews>
    <sheetView workbookViewId="0"/>
  </sheetViews>
  <sheetFormatPr defaultRowHeight="15" x14ac:dyDescent="0.25"/>
  <cols>
    <col min="1" max="1" width="16.28515625" bestFit="1" customWidth="1"/>
    <col min="2" max="2" width="11" bestFit="1" customWidth="1"/>
    <col min="3" max="3" width="17.7109375" bestFit="1" customWidth="1"/>
  </cols>
  <sheetData>
    <row r="1" spans="1:3" x14ac:dyDescent="0.25">
      <c r="A1" t="s">
        <v>141</v>
      </c>
      <c r="B1" t="s">
        <v>142</v>
      </c>
      <c r="C1" t="s">
        <v>143</v>
      </c>
    </row>
    <row r="2" spans="1:3" x14ac:dyDescent="0.25">
      <c r="A2" t="s">
        <v>98</v>
      </c>
      <c r="B2" t="s">
        <v>144</v>
      </c>
      <c r="C2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649A-A258-42DA-B5E9-F2688881BBA8}">
  <dimension ref="A1:C4"/>
  <sheetViews>
    <sheetView workbookViewId="0"/>
  </sheetViews>
  <sheetFormatPr defaultRowHeight="15" x14ac:dyDescent="0.25"/>
  <cols>
    <col min="1" max="1" width="23.5703125" bestFit="1" customWidth="1"/>
    <col min="2" max="2" width="6.42578125" bestFit="1" customWidth="1"/>
    <col min="3" max="3" width="11.28515625" bestFit="1" customWidth="1"/>
  </cols>
  <sheetData>
    <row r="1" spans="1:3" x14ac:dyDescent="0.25">
      <c r="A1" t="s">
        <v>145</v>
      </c>
      <c r="B1" t="s">
        <v>135</v>
      </c>
      <c r="C1" t="s">
        <v>146</v>
      </c>
    </row>
    <row r="2" spans="1:3" x14ac:dyDescent="0.25">
      <c r="A2" t="s">
        <v>147</v>
      </c>
      <c r="B2">
        <v>37</v>
      </c>
      <c r="C2">
        <v>37</v>
      </c>
    </row>
    <row r="3" spans="1:3" x14ac:dyDescent="0.25">
      <c r="A3" t="s">
        <v>148</v>
      </c>
      <c r="B3">
        <v>36</v>
      </c>
      <c r="C3">
        <v>36</v>
      </c>
    </row>
    <row r="4" spans="1:3" x14ac:dyDescent="0.25">
      <c r="A4" t="s">
        <v>149</v>
      </c>
      <c r="B4">
        <v>27</v>
      </c>
      <c r="C4">
        <v>27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FC93-2206-4683-B52C-CDCB5BC75E23}">
  <dimension ref="A1:B6"/>
  <sheetViews>
    <sheetView workbookViewId="0">
      <selection activeCell="A6" sqref="A6"/>
    </sheetView>
  </sheetViews>
  <sheetFormatPr defaultRowHeight="15" x14ac:dyDescent="0.25"/>
  <cols>
    <col min="1" max="1" width="11.42578125" bestFit="1" customWidth="1"/>
    <col min="2" max="2" width="20.7109375" bestFit="1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152</v>
      </c>
      <c r="B2">
        <v>43.23</v>
      </c>
    </row>
    <row r="3" spans="1:2" x14ac:dyDescent="0.25">
      <c r="A3" t="s">
        <v>144</v>
      </c>
      <c r="B3">
        <v>23.92</v>
      </c>
    </row>
    <row r="4" spans="1:2" x14ac:dyDescent="0.25">
      <c r="A4" t="s">
        <v>153</v>
      </c>
      <c r="B4">
        <v>20.350000000000001</v>
      </c>
    </row>
    <row r="5" spans="1:2" x14ac:dyDescent="0.25">
      <c r="A5" t="s">
        <v>154</v>
      </c>
      <c r="B5">
        <v>15.38</v>
      </c>
    </row>
    <row r="6" spans="1:2" x14ac:dyDescent="0.25">
      <c r="A6" t="s">
        <v>155</v>
      </c>
      <c r="B6">
        <v>10.85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F6FD-0A60-44A2-8882-5BD532C42AB2}">
  <dimension ref="A1:C5"/>
  <sheetViews>
    <sheetView workbookViewId="0">
      <selection activeCell="S16" sqref="S16"/>
    </sheetView>
  </sheetViews>
  <sheetFormatPr defaultRowHeight="15" x14ac:dyDescent="0.25"/>
  <cols>
    <col min="1" max="1" width="12.85546875" bestFit="1" customWidth="1"/>
    <col min="2" max="2" width="15" bestFit="1" customWidth="1"/>
    <col min="3" max="3" width="17.85546875" bestFit="1" customWidth="1"/>
  </cols>
  <sheetData>
    <row r="1" spans="1:3" x14ac:dyDescent="0.25">
      <c r="A1" t="s">
        <v>156</v>
      </c>
      <c r="B1" t="s">
        <v>118</v>
      </c>
      <c r="C1" t="s">
        <v>157</v>
      </c>
    </row>
    <row r="2" spans="1:3" x14ac:dyDescent="0.25">
      <c r="A2" t="s">
        <v>158</v>
      </c>
      <c r="B2">
        <v>404641</v>
      </c>
      <c r="C2">
        <v>16.45</v>
      </c>
    </row>
    <row r="3" spans="1:3" x14ac:dyDescent="0.25">
      <c r="A3" t="s">
        <v>159</v>
      </c>
      <c r="B3">
        <v>606375</v>
      </c>
      <c r="C3">
        <v>24.65</v>
      </c>
    </row>
    <row r="4" spans="1:3" x14ac:dyDescent="0.25">
      <c r="A4" t="s">
        <v>160</v>
      </c>
      <c r="B4">
        <v>691751</v>
      </c>
      <c r="C4">
        <v>28.12</v>
      </c>
    </row>
    <row r="5" spans="1:3" x14ac:dyDescent="0.25">
      <c r="A5" t="s">
        <v>161</v>
      </c>
      <c r="B5">
        <v>757477</v>
      </c>
      <c r="C5">
        <v>30.79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AA97-2D16-40E2-917B-8DA04C05B002}">
  <dimension ref="A1:C2"/>
  <sheetViews>
    <sheetView workbookViewId="0"/>
  </sheetViews>
  <sheetFormatPr defaultRowHeight="15" x14ac:dyDescent="0.25"/>
  <cols>
    <col min="1" max="2" width="12.5703125" bestFit="1" customWidth="1"/>
    <col min="3" max="3" width="13" bestFit="1" customWidth="1"/>
  </cols>
  <sheetData>
    <row r="1" spans="1:3" x14ac:dyDescent="0.25">
      <c r="A1" t="s">
        <v>162</v>
      </c>
      <c r="B1" t="s">
        <v>163</v>
      </c>
      <c r="C1" t="s">
        <v>164</v>
      </c>
    </row>
    <row r="2" spans="1:3" x14ac:dyDescent="0.25">
      <c r="A2">
        <v>607252</v>
      </c>
      <c r="B2">
        <v>623685</v>
      </c>
      <c r="C2">
        <v>2.71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831E-BA3C-4C79-B6E8-B27ABBF82886}">
  <dimension ref="A1:AD39"/>
  <sheetViews>
    <sheetView showGridLines="0" tabSelected="1" workbookViewId="0">
      <selection activeCell="X18" sqref="X18"/>
    </sheetView>
  </sheetViews>
  <sheetFormatPr defaultRowHeight="15" x14ac:dyDescent="0.25"/>
  <sheetData>
    <row r="1" spans="1:3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3D5BA-7F89-4AF6-AC7B-179A4A3B4C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ÜSM</vt:lpstr>
      <vt:lpstr>AUSS</vt:lpstr>
      <vt:lpstr>Aylıq Satış Trendi (2023–2024)</vt:lpstr>
      <vt:lpstr>Mehsul uzre menfeet</vt:lpstr>
      <vt:lpstr>Top 5 mehsul</vt:lpstr>
      <vt:lpstr>Top 5 musteri</vt:lpstr>
      <vt:lpstr>Şəhərlər üzrə SS</vt:lpstr>
      <vt:lpstr>Endirim</vt:lpstr>
      <vt:lpstr>Odenis_Usullari</vt:lpstr>
      <vt:lpstr>Ləğv_Qaytarılma</vt:lpstr>
      <vt:lpstr>Qaytarilma_Faizi</vt:lpstr>
      <vt:lpstr>Top 1 qaytarilan</vt:lpstr>
      <vt:lpstr>Qaytarilma_Sebeb</vt:lpstr>
      <vt:lpstr>Kateqoriya_Menfeet_Faizi</vt:lpstr>
      <vt:lpstr>Yaş_Qrupları</vt:lpstr>
      <vt:lpstr>2023_2024_SAF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ccr</dc:creator>
  <cp:lastModifiedBy>ccr</cp:lastModifiedBy>
  <dcterms:created xsi:type="dcterms:W3CDTF">2026-01-10T12:26:09Z</dcterms:created>
  <dcterms:modified xsi:type="dcterms:W3CDTF">2026-01-11T07:02:52Z</dcterms:modified>
</cp:coreProperties>
</file>